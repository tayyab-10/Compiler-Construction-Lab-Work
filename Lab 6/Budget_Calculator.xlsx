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4"/>
    <sheet state="visible" name="Expenses" sheetId="2" r:id="rId5"/>
    <sheet state="visible" name="Income" sheetId="3" r:id="rId6"/>
    <sheet state="visible" name="Summary" sheetId="4"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Tuition depends on your program and may depend on the number of courses you are taking each term. Refer to the Calendar for the most accurate information on the tuition for your program. Please also consult with your graduate program to learn about any additional fees or costs.</t>
      </text>
    </comment>
    <comment authorId="0" ref="C6">
      <text>
        <t xml:space="preserve">This will vary by graduate program.</t>
      </text>
    </comment>
    <comment authorId="0" ref="A10">
      <text>
        <t xml:space="preserve">General cost of living in Burnaby statistics: https://www.numbeo.com/cost-of-living/in/Burnaby</t>
      </text>
    </comment>
    <comment authorId="0" ref="C11">
      <text>
        <t xml:space="preserve">Fees are dependent on the type of residence. Refer to SFU Residences for the latest up-to-date fees. Rental fees off-campus can range greatly.</t>
      </text>
    </comment>
    <comment authorId="0" ref="C13">
      <text>
        <t xml:space="preserve">Gas (not car fuel) and hydro</t>
      </text>
    </comment>
    <comment authorId="0" ref="C17">
      <text>
        <t xml:space="preserve">Property taxes, property insurance, condo fees, maintenance costs, renovations</t>
      </text>
    </comment>
    <comment authorId="0" ref="C20">
      <text>
        <t xml:space="preserve">Only applies to international students. If you're a TA/TM, MSP is included in your benefits package.</t>
      </text>
    </comment>
    <comment authorId="0" ref="C22">
      <text>
        <t xml:space="preserve">If you're a member of the Teaching Support Staff Union (TSSU), you may be eligible for the TSSU extended healthcare plan. You may also be eligible for MSP coverage.</t>
      </text>
    </comment>
    <comment authorId="0" ref="C23">
      <text>
        <t xml:space="preserve">This is a short term primary medical insurance coverage for international students. Its goal is to help you transition while you are waiting for your BC MSP.</t>
      </text>
    </comment>
    <comment authorId="0" ref="C32">
      <text>
        <t xml:space="preserve">Loan or lease payments</t>
      </text>
    </comment>
    <comment authorId="0" ref="C34">
      <text>
        <t xml:space="preserve">Car maintenance, repairs, etc.</t>
      </text>
    </comment>
    <comment authorId="0" ref="C37">
      <text>
        <t xml:space="preserve">Sports, gym membership, etc.</t>
      </text>
    </comment>
    <comment authorId="0" ref="C38">
      <text>
        <t xml:space="preserve">Movies, outings, bars, etc.</t>
      </text>
    </comment>
    <comment authorId="0" ref="C39">
      <text>
        <t xml:space="preserve">Haircuts, beauty products, etc.</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The SFU Student Temp Pool can be a good opportunity for temporary, part-time work.
As an international student, please consult International Student Advising and Programs (ISAP) for information on employment restrictions and requirements.</t>
      </text>
    </comment>
    <comment authorId="0" ref="C6">
      <text>
        <t xml:space="preserve">The Work-Study Program is an opportunity to participate in research-based projects and earn a supplemental income. You will also gain valuable experience connecting with various members of the SFU community and build your co-curricular record.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Total of Income - Expenses</t>
      </text>
    </comment>
    <comment authorId="0" ref="B16">
      <text>
        <t xml:space="preserve">This formula matches the categories in column C with their locations in the 'Income' tab, then displays the resulting row number. The formula in column D uses it to calculate the values in columns D:Q. </t>
      </text>
    </comment>
    <comment authorId="0" ref="B24">
      <text>
        <t xml:space="preserve">This formula matches the categories in column C with their locations in the 'Expenses' tab, then displays the resulting row number. The formula in column D uses it to calculate the values in columns D:Q. </t>
      </text>
    </comment>
  </commentList>
</comments>
</file>

<file path=xl/sharedStrings.xml><?xml version="1.0" encoding="utf-8"?>
<sst xmlns="http://schemas.openxmlformats.org/spreadsheetml/2006/main" count="91" uniqueCount="61">
  <si>
    <t>Budget Calculator</t>
  </si>
  <si>
    <t xml:space="preserve">Plan and track your monthly/yearly spending for the school year. </t>
  </si>
  <si>
    <t>Budget Calculator Template Disclaimer</t>
  </si>
  <si>
    <t>The numbers on this sample page are for demonstrative purposes on how to use this calculator only and may not reflect accurate numbers. Budgeting for individuals is personal. For more accurate information to input into this spreadsheet to reflect your individual preferences, please visit the links provided on the website and within this sheet to build a calculator that more accurately represents your individual situation.</t>
  </si>
  <si>
    <t>How to use this template</t>
  </si>
  <si>
    <t>1.</t>
  </si>
  <si>
    <r>
      <rPr>
        <rFont val="Lato"/>
        <color rgb="FF576475"/>
      </rPr>
      <t>Get started by filling out the '</t>
    </r>
    <r>
      <rPr>
        <rFont val="Lato"/>
        <b/>
        <color rgb="FF576475"/>
      </rPr>
      <t>Expenses</t>
    </r>
    <r>
      <rPr>
        <rFont val="Lato"/>
        <color rgb="FF576475"/>
      </rPr>
      <t>' and '</t>
    </r>
    <r>
      <rPr>
        <rFont val="Lato"/>
        <b/>
        <color rgb="FF576475"/>
      </rPr>
      <t>Income</t>
    </r>
    <r>
      <rPr>
        <rFont val="Lato"/>
        <color rgb="FF576475"/>
      </rPr>
      <t>' tabs. Enter data using one of the '</t>
    </r>
    <r>
      <rPr>
        <rFont val="Lato"/>
        <b/>
        <color rgb="FF576475"/>
      </rPr>
      <t>Per Month</t>
    </r>
    <r>
      <rPr>
        <rFont val="Lato"/>
        <color rgb="FF576475"/>
      </rPr>
      <t>', '</t>
    </r>
    <r>
      <rPr>
        <rFont val="Lato"/>
        <b/>
        <color rgb="FF576475"/>
      </rPr>
      <t>Per Term</t>
    </r>
    <r>
      <rPr>
        <rFont val="Lato"/>
        <color rgb="FF576475"/>
      </rPr>
      <t>', or '</t>
    </r>
    <r>
      <rPr>
        <rFont val="Lato"/>
        <b/>
        <color rgb="FF576475"/>
      </rPr>
      <t>Per Year</t>
    </r>
    <r>
      <rPr>
        <rFont val="Lato"/>
        <color rgb="FF576475"/>
      </rPr>
      <t>' columns for each category row.</t>
    </r>
  </si>
  <si>
    <t>2.</t>
  </si>
  <si>
    <t>Only edit cells highlighted like this one. Try not to alter cells that contain a formula.</t>
  </si>
  <si>
    <t>3.</t>
  </si>
  <si>
    <r>
      <rPr>
        <rFont val="Lato"/>
        <color rgb="FF576475"/>
      </rPr>
      <t>Feel free to rename or delete categories in the tabs. Your changes will automatically be reflected on the '</t>
    </r>
    <r>
      <rPr>
        <rFont val="Lato"/>
        <b/>
        <color rgb="FF576475"/>
      </rPr>
      <t>Summary</t>
    </r>
    <r>
      <rPr>
        <rFont val="Lato"/>
        <color rgb="FF576475"/>
      </rPr>
      <t>' tab, which shows an overview of your projected expenses and income.</t>
    </r>
  </si>
  <si>
    <t>EXPENSES</t>
  </si>
  <si>
    <t>Per Month</t>
  </si>
  <si>
    <t>Per Term</t>
  </si>
  <si>
    <t>Per Year</t>
  </si>
  <si>
    <t>Monthly Total (Projected)</t>
  </si>
  <si>
    <t>Yearly Total (Projected)</t>
  </si>
  <si>
    <t>Education</t>
  </si>
  <si>
    <t>Totals</t>
  </si>
  <si>
    <t>Student Fees</t>
  </si>
  <si>
    <t>Books + Supplies</t>
  </si>
  <si>
    <t>Housing + Living</t>
  </si>
  <si>
    <t>Food/Groceries</t>
  </si>
  <si>
    <t>Utilities</t>
  </si>
  <si>
    <t>Phone Plan</t>
  </si>
  <si>
    <t>TV/Cable/Streaming</t>
  </si>
  <si>
    <t>Internet</t>
  </si>
  <si>
    <t>Other</t>
  </si>
  <si>
    <t>Medical/Health</t>
  </si>
  <si>
    <t>Emergency</t>
  </si>
  <si>
    <t>Transportation</t>
  </si>
  <si>
    <t>Gas</t>
  </si>
  <si>
    <t>Car Payments</t>
  </si>
  <si>
    <t>Taxi/Ride Hailing</t>
  </si>
  <si>
    <t>Miscellaneous</t>
  </si>
  <si>
    <t>Recreation</t>
  </si>
  <si>
    <t>Entertainment</t>
  </si>
  <si>
    <t>Personal Care</t>
  </si>
  <si>
    <t>Clothing</t>
  </si>
  <si>
    <t>Vacation</t>
  </si>
  <si>
    <t>Gifts</t>
  </si>
  <si>
    <t>[Category 1]</t>
  </si>
  <si>
    <t>[Category 2]</t>
  </si>
  <si>
    <t>INCOME</t>
  </si>
  <si>
    <t>Income</t>
  </si>
  <si>
    <t>Family Contributions</t>
  </si>
  <si>
    <t>Financial Assistance</t>
  </si>
  <si>
    <t>Savings + Investments</t>
  </si>
  <si>
    <t>Savings</t>
  </si>
  <si>
    <t>Investments</t>
  </si>
  <si>
    <t>In-Trust</t>
  </si>
  <si>
    <t>Refunds</t>
  </si>
  <si>
    <t>ABOUT THIS SHEET</t>
  </si>
  <si>
    <t>NOTE</t>
  </si>
  <si>
    <t>This sheet generates a summary of your spending based on data in the 'Expenses' and 'Income' tabs.</t>
  </si>
  <si>
    <t>Please don't edit this sheet.</t>
  </si>
  <si>
    <t>It contains formulas and will update automatically.</t>
  </si>
  <si>
    <t>SUMMARY</t>
  </si>
  <si>
    <t>Expenses</t>
  </si>
  <si>
    <t>Net savings</t>
  </si>
  <si>
    <t>Row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</si>
</sst>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
    <numFmt numFmtId="165" formatCode="&quot;$&quot;#,##0.00"/>
    <numFmt numFmtId="166" formatCode="mmm"/>
    <numFmt numFmtId="167" formatCode="mmm&quot; '&quot;yy"/>
  </numFmts>
  <fonts count="47">
    <font>
      <sz val="10.0"/>
      <color rgb="FF000000"/>
      <name val="Arial"/>
      <scheme val="minor"/>
    </font>
    <font>
      <color theme="1"/>
      <name val="Arial"/>
    </font>
    <font>
      <color theme="4"/>
      <name val="Arial"/>
    </font>
    <font>
      <b/>
      <sz val="21.0"/>
      <color theme="5"/>
      <name val="Oswald"/>
    </font>
    <font>
      <i/>
      <color rgb="FF576475"/>
      <name val="Lato"/>
    </font>
    <font>
      <b/>
      <sz val="12.0"/>
      <color rgb="FF54585A"/>
      <name val="Lato"/>
    </font>
    <font>
      <sz val="10.0"/>
      <color rgb="FF54585A"/>
      <name val="Lato"/>
    </font>
    <font>
      <b/>
      <sz val="12.0"/>
      <color theme="6"/>
      <name val="Lato"/>
    </font>
    <font>
      <b/>
      <color rgb="FF576475"/>
      <name val="Lato"/>
    </font>
    <font>
      <color rgb="FF576475"/>
      <name val="Lato"/>
    </font>
    <font>
      <b/>
      <sz val="18.0"/>
      <color rgb="FFCC0633"/>
      <name val="Oswald"/>
    </font>
    <font>
      <b/>
      <sz val="11.0"/>
      <color rgb="FF334960"/>
      <name val="Lato"/>
    </font>
    <font>
      <b/>
      <i/>
      <sz val="9.0"/>
      <color rgb="FF576475"/>
      <name val="Lato"/>
    </font>
    <font>
      <b/>
      <i/>
      <sz val="11.0"/>
      <color theme="6"/>
      <name val="Lato"/>
    </font>
    <font>
      <b/>
      <i/>
      <color rgb="FFFFFFFF"/>
      <name val="Lato"/>
    </font>
    <font>
      <color rgb="FFFFFFFF"/>
      <name val="Lato"/>
    </font>
    <font>
      <b/>
      <color rgb="FFFFFFFF"/>
      <name val="Lato"/>
    </font>
    <font>
      <b/>
      <i/>
      <sz val="11.0"/>
      <color theme="1"/>
      <name val="Lato"/>
    </font>
    <font>
      <u/>
      <color rgb="FF334960"/>
      <name val="Lato"/>
    </font>
    <font>
      <sz val="9.0"/>
      <color rgb="FF576475"/>
      <name val="Lato"/>
    </font>
    <font>
      <i/>
      <sz val="9.0"/>
      <color rgb="FF6C7687"/>
      <name val="Lato"/>
    </font>
    <font>
      <color rgb="FF334960"/>
      <name val="Lato"/>
    </font>
    <font>
      <u/>
      <color rgb="FF334960"/>
      <name val="Lato"/>
    </font>
    <font>
      <u/>
      <sz val="10.0"/>
      <color rgb="FF334960"/>
      <name val="Lato"/>
    </font>
    <font>
      <color theme="1"/>
      <name val="Arial"/>
      <scheme val="minor"/>
    </font>
    <font>
      <b/>
      <i/>
      <sz val="11.0"/>
      <color rgb="FF556376"/>
      <name val="Lato"/>
    </font>
    <font>
      <u/>
      <color rgb="FF334960"/>
      <name val="Lato"/>
    </font>
    <font>
      <color rgb="FF576475"/>
      <name val="Arial"/>
      <scheme val="minor"/>
    </font>
    <font>
      <color rgb="FF576475"/>
      <name val="Arial"/>
    </font>
    <font>
      <color rgb="FF6C7687"/>
      <name val="Lato"/>
    </font>
    <font>
      <sz val="10.0"/>
      <color rgb="FF334960"/>
      <name val="Lato"/>
    </font>
    <font/>
    <font>
      <color theme="1"/>
      <name val="Lato"/>
    </font>
    <font>
      <b/>
      <sz val="12.0"/>
      <color theme="1"/>
      <name val="Lato"/>
    </font>
    <font>
      <b/>
      <sz val="10.0"/>
      <color rgb="FF222222"/>
      <name val="Lato"/>
    </font>
    <font>
      <color rgb="FF000000"/>
      <name val="Lato"/>
    </font>
    <font>
      <sz val="24.0"/>
      <color rgb="FF334960"/>
      <name val="Lato"/>
    </font>
    <font>
      <i/>
      <sz val="12.0"/>
      <color rgb="FF334960"/>
      <name val="Lato"/>
    </font>
    <font>
      <b/>
      <color rgb="FF334960"/>
      <name val="Lato"/>
    </font>
    <font>
      <b/>
      <color rgb="FF222222"/>
      <name val="Lato"/>
    </font>
    <font>
      <b/>
      <sz val="14.0"/>
      <color theme="5"/>
      <name val="Lato"/>
    </font>
    <font>
      <b/>
      <sz val="14.0"/>
      <color rgb="FF434343"/>
      <name val="Lato"/>
    </font>
    <font>
      <i/>
      <color theme="5"/>
      <name val="Lato"/>
    </font>
    <font>
      <i/>
      <color rgb="FF434343"/>
      <name val="Lato"/>
    </font>
    <font>
      <b/>
      <i/>
      <sz val="6.0"/>
      <color rgb="FFB7B7B7"/>
      <name val="Lato"/>
    </font>
    <font>
      <sz val="6.0"/>
      <color rgb="FFB7B7B7"/>
      <name val="Lato"/>
    </font>
    <font>
      <i/>
      <color rgb="FF6C7687"/>
      <name val="Lato"/>
    </font>
  </fonts>
  <fills count="9">
    <fill>
      <patternFill patternType="none"/>
    </fill>
    <fill>
      <patternFill patternType="lightGray"/>
    </fill>
    <fill>
      <patternFill patternType="solid">
        <fgColor theme="1"/>
        <bgColor theme="1"/>
      </patternFill>
    </fill>
    <fill>
      <patternFill patternType="solid">
        <fgColor rgb="FFFFFFFF"/>
        <bgColor rgb="FFFFFFFF"/>
      </patternFill>
    </fill>
    <fill>
      <patternFill patternType="solid">
        <fgColor rgb="FFF3F3F3"/>
        <bgColor rgb="FFF3F3F3"/>
      </patternFill>
    </fill>
    <fill>
      <patternFill patternType="solid">
        <fgColor theme="4"/>
        <bgColor theme="4"/>
      </patternFill>
    </fill>
    <fill>
      <patternFill patternType="solid">
        <fgColor rgb="FF334960"/>
        <bgColor rgb="FF334960"/>
      </patternFill>
    </fill>
    <fill>
      <patternFill patternType="solid">
        <fgColor rgb="FFF4CCCC"/>
        <bgColor rgb="FFF4CCCC"/>
      </patternFill>
    </fill>
    <fill>
      <patternFill patternType="solid">
        <fgColor rgb="FFEBEDEF"/>
        <bgColor rgb="FFEBEDEF"/>
      </patternFill>
    </fill>
  </fills>
  <borders count="29">
    <border/>
    <border>
      <bottom style="dotted">
        <color rgb="FFA7B0BF"/>
      </bottom>
    </border>
    <border>
      <right/>
    </border>
    <border>
      <left style="thin">
        <color rgb="FF334960"/>
      </left>
      <right style="thin">
        <color rgb="FF334960"/>
      </right>
      <top style="thin">
        <color rgb="FF334960"/>
      </top>
      <bottom style="thin">
        <color rgb="FF334960"/>
      </bottom>
    </border>
    <border>
      <right style="thin">
        <color rgb="FF334960"/>
      </right>
      <top style="thin">
        <color rgb="FF334960"/>
      </top>
      <bottom style="thin">
        <color rgb="FF334960"/>
      </bottom>
    </border>
    <border>
      <left style="thin">
        <color rgb="FFFFFFFF"/>
      </left>
      <right style="thin">
        <color rgb="FFFFFFFF"/>
      </right>
      <bottom style="thin">
        <color rgb="FF6C7687"/>
      </bottom>
    </border>
    <border>
      <right style="thin">
        <color rgb="FFFFFFFF"/>
      </right>
      <bottom style="thin">
        <color rgb="FF6C7687"/>
      </bottom>
    </border>
    <border>
      <left style="thin">
        <color rgb="FFFFFFFF"/>
      </left>
      <right style="thin">
        <color rgb="FFFFFFFF"/>
      </right>
      <top style="hair">
        <color rgb="FFFFFFFF"/>
      </top>
      <bottom style="thin">
        <color rgb="FFFFFFFF"/>
      </bottom>
    </border>
    <border>
      <top style="hair">
        <color rgb="FFFFFFFF"/>
      </top>
      <bottom style="thin">
        <color rgb="FFFFFFFF"/>
      </bottom>
    </border>
    <border>
      <right style="hair">
        <color rgb="FFFFFFFF"/>
      </right>
      <bottom style="hair">
        <color rgb="FFFFFFFF"/>
      </bottom>
    </border>
    <border>
      <left style="hair">
        <color rgb="FFFFFFFF"/>
      </left>
      <right style="hair">
        <color rgb="FFFFFFFF"/>
      </right>
      <bottom style="hair">
        <color rgb="FFFFFFFF"/>
      </bottom>
    </border>
    <border>
      <right style="thin">
        <color rgb="FFFFFFFF"/>
      </right>
      <bottom style="hair">
        <color rgb="FFFFFFFF"/>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right style="thin">
        <color rgb="FFFFFFFF"/>
      </right>
      <top style="hair">
        <color rgb="FFFFFFFF"/>
      </top>
    </border>
    <border>
      <left style="thin">
        <color rgb="FFFFFFFF"/>
      </left>
    </border>
    <border>
      <right/>
      <bottom style="dotted">
        <color rgb="FFA7B0BF"/>
      </bottom>
    </border>
    <border>
      <right/>
      <bottom style="thin">
        <color rgb="FFFFFFFF"/>
      </bottom>
    </border>
    <border>
      <right style="thin">
        <color rgb="FFFFFFFF"/>
      </right>
    </border>
    <border>
      <right style="thin">
        <color rgb="FFFFFFFF"/>
      </right>
      <bottom style="thin">
        <color rgb="FFA7B0BF"/>
      </bottom>
    </border>
    <border>
      <bottom style="thin">
        <color rgb="FFA7B0BF"/>
      </bottom>
    </border>
    <border>
      <right style="dotted">
        <color rgb="FFB7B7B7"/>
      </right>
    </border>
    <border>
      <right style="thin">
        <color rgb="FFD9D9D9"/>
      </right>
    </border>
    <border>
      <top style="thin">
        <color rgb="FFD9D9D9"/>
      </top>
    </border>
    <border>
      <left style="thin">
        <color rgb="FFD9D9D9"/>
      </left>
    </border>
    <border>
      <bottom style="dotted">
        <color rgb="FFB7B7B7"/>
      </bottom>
    </border>
    <border>
      <bottom style="thin">
        <color rgb="FFD9D9D9"/>
      </bottom>
    </border>
    <border>
      <right style="thin">
        <color rgb="FFD9D9D9"/>
      </right>
      <bottom style="thin">
        <color rgb="FFD9D9D9"/>
      </bottom>
    </border>
    <border>
      <bottom style="thin">
        <color rgb="FFFFFFFF"/>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2" fontId="1" numFmtId="49" xfId="0" applyAlignment="1" applyFill="1" applyFont="1" applyNumberFormat="1">
      <alignment vertical="top"/>
    </xf>
    <xf borderId="0" fillId="2" fontId="2" numFmtId="0" xfId="0" applyAlignment="1" applyFont="1">
      <alignment vertical="bottom"/>
    </xf>
    <xf borderId="0" fillId="3" fontId="1" numFmtId="49" xfId="0" applyAlignment="1" applyFill="1" applyFont="1" applyNumberFormat="1">
      <alignment vertical="top"/>
    </xf>
    <xf borderId="0" fillId="3" fontId="3" numFmtId="0" xfId="0" applyAlignment="1" applyFont="1">
      <alignment readingOrder="0" vertical="bottom"/>
    </xf>
    <xf borderId="0" fillId="3" fontId="1" numFmtId="0" xfId="0" applyAlignment="1" applyFont="1">
      <alignment vertical="bottom"/>
    </xf>
    <xf borderId="0" fillId="3" fontId="4" numFmtId="0" xfId="0" applyAlignment="1" applyFont="1">
      <alignment readingOrder="0"/>
    </xf>
    <xf borderId="1" fillId="3" fontId="1" numFmtId="0" xfId="0" applyAlignment="1" applyBorder="1" applyFont="1">
      <alignment vertical="bottom"/>
    </xf>
    <xf borderId="0" fillId="3" fontId="2" numFmtId="0" xfId="0" applyAlignment="1" applyFont="1">
      <alignment vertical="bottom"/>
    </xf>
    <xf borderId="0" fillId="3" fontId="5" numFmtId="0" xfId="0" applyAlignment="1" applyFont="1">
      <alignment readingOrder="0" shrinkToFit="0" wrapText="0"/>
    </xf>
    <xf borderId="0" fillId="0" fontId="1" numFmtId="0" xfId="0" applyAlignment="1" applyFont="1">
      <alignment vertical="bottom"/>
    </xf>
    <xf borderId="0" fillId="3" fontId="6" numFmtId="0" xfId="0" applyAlignment="1" applyFont="1">
      <alignment readingOrder="0" shrinkToFit="0" wrapText="1"/>
    </xf>
    <xf borderId="0" fillId="3" fontId="7" numFmtId="0" xfId="0" applyAlignment="1" applyFont="1">
      <alignment shrinkToFit="0" wrapText="0"/>
    </xf>
    <xf borderId="2" fillId="3" fontId="5" numFmtId="0" xfId="0" applyAlignment="1" applyBorder="1" applyFont="1">
      <alignment readingOrder="0" shrinkToFit="0" wrapText="0"/>
    </xf>
    <xf borderId="0" fillId="3" fontId="8" numFmtId="49" xfId="0" applyAlignment="1" applyFont="1" applyNumberFormat="1">
      <alignment horizontal="right" shrinkToFit="0" vertical="top" wrapText="1"/>
    </xf>
    <xf borderId="0" fillId="3" fontId="9" numFmtId="0" xfId="0" applyAlignment="1" applyFont="1">
      <alignment readingOrder="0" shrinkToFit="0" vertical="top" wrapText="1"/>
    </xf>
    <xf borderId="0" fillId="3" fontId="1" numFmtId="0" xfId="0" applyAlignment="1" applyFont="1">
      <alignment shrinkToFit="0" wrapText="1"/>
    </xf>
    <xf borderId="0" fillId="3" fontId="8" numFmtId="49" xfId="0" applyAlignment="1" applyFont="1" applyNumberFormat="1">
      <alignment horizontal="right" vertical="top"/>
    </xf>
    <xf borderId="0" fillId="4" fontId="9" numFmtId="0" xfId="0" applyAlignment="1" applyFill="1" applyFont="1">
      <alignment readingOrder="0" vertical="top"/>
    </xf>
    <xf borderId="0" fillId="3" fontId="1" numFmtId="0" xfId="0" applyFont="1"/>
    <xf borderId="3" fillId="2" fontId="1" numFmtId="0" xfId="0" applyBorder="1" applyFont="1"/>
    <xf borderId="4" fillId="2" fontId="1" numFmtId="0" xfId="0" applyBorder="1" applyFont="1"/>
    <xf borderId="4" fillId="2" fontId="1" numFmtId="164" xfId="0" applyBorder="1" applyFont="1" applyNumberFormat="1"/>
    <xf borderId="5" fillId="0" fontId="1" numFmtId="0" xfId="0" applyAlignment="1" applyBorder="1" applyFont="1">
      <alignment vertical="bottom"/>
    </xf>
    <xf borderId="6" fillId="0" fontId="1" numFmtId="0" xfId="0" applyAlignment="1" applyBorder="1" applyFont="1">
      <alignment vertical="bottom"/>
    </xf>
    <xf borderId="6" fillId="0" fontId="10" numFmtId="0" xfId="0" applyAlignment="1" applyBorder="1" applyFont="1">
      <alignment readingOrder="0" vertical="bottom"/>
    </xf>
    <xf borderId="6" fillId="0" fontId="11" numFmtId="0" xfId="0" applyAlignment="1" applyBorder="1" applyFont="1">
      <alignment horizontal="right" readingOrder="0" vertical="bottom"/>
    </xf>
    <xf borderId="6" fillId="0" fontId="12" numFmtId="0" xfId="0" applyAlignment="1" applyBorder="1" applyFont="1">
      <alignment horizontal="right" readingOrder="0" shrinkToFit="0" vertical="bottom" wrapText="1"/>
    </xf>
    <xf borderId="7" fillId="0" fontId="13" numFmtId="0" xfId="0" applyAlignment="1" applyBorder="1" applyFont="1">
      <alignment horizontal="right" vertical="center"/>
    </xf>
    <xf borderId="8" fillId="0" fontId="1" numFmtId="0" xfId="0" applyAlignment="1" applyBorder="1" applyFont="1">
      <alignment vertical="center"/>
    </xf>
    <xf borderId="0" fillId="5" fontId="14" numFmtId="0" xfId="0" applyAlignment="1" applyFill="1" applyFont="1">
      <alignment readingOrder="0" vertical="center"/>
    </xf>
    <xf borderId="0" fillId="5" fontId="15" numFmtId="165" xfId="0" applyAlignment="1" applyFont="1" applyNumberFormat="1">
      <alignment horizontal="right" vertical="center"/>
    </xf>
    <xf borderId="0" fillId="5" fontId="16" numFmtId="164" xfId="0" applyAlignment="1" applyFont="1" applyNumberFormat="1">
      <alignment horizontal="right" vertical="center"/>
    </xf>
    <xf borderId="0" fillId="5" fontId="16" numFmtId="164" xfId="0" applyAlignment="1" applyFont="1" applyNumberFormat="1">
      <alignment horizontal="right" vertical="center"/>
    </xf>
    <xf borderId="9" fillId="0" fontId="1" numFmtId="0" xfId="0" applyBorder="1" applyFont="1"/>
    <xf borderId="10" fillId="0" fontId="17" numFmtId="0" xfId="0" applyAlignment="1" applyBorder="1" applyFont="1">
      <alignment vertical="center"/>
    </xf>
    <xf borderId="11" fillId="0" fontId="1" numFmtId="0" xfId="0" applyAlignment="1" applyBorder="1" applyFont="1">
      <alignment vertical="center"/>
    </xf>
    <xf borderId="0" fillId="0" fontId="18" numFmtId="0" xfId="0" applyAlignment="1" applyFont="1">
      <alignment vertical="center"/>
    </xf>
    <xf borderId="0" fillId="4" fontId="19" numFmtId="164" xfId="0" applyAlignment="1" applyFont="1" applyNumberFormat="1">
      <alignment horizontal="right" readingOrder="0" vertical="center"/>
    </xf>
    <xf borderId="0" fillId="0" fontId="20" numFmtId="164" xfId="0" applyAlignment="1" applyFont="1" applyNumberFormat="1">
      <alignment readingOrder="0" vertical="center"/>
    </xf>
    <xf borderId="0" fillId="0" fontId="20" numFmtId="164" xfId="0" applyAlignment="1" applyFont="1" applyNumberFormat="1">
      <alignment vertical="center"/>
    </xf>
    <xf borderId="12" fillId="0" fontId="1" numFmtId="164" xfId="0" applyBorder="1" applyFont="1" applyNumberFormat="1"/>
    <xf borderId="0" fillId="0" fontId="21" numFmtId="0" xfId="0" applyAlignment="1" applyFont="1">
      <alignment vertical="center"/>
    </xf>
    <xf borderId="0" fillId="0" fontId="21" numFmtId="0" xfId="0" applyAlignment="1" applyFont="1">
      <alignment readingOrder="0" vertical="center"/>
    </xf>
    <xf borderId="2" fillId="0" fontId="22" numFmtId="0" xfId="0" applyAlignment="1" applyBorder="1" applyFont="1">
      <alignment shrinkToFit="0" vertical="center" wrapText="0"/>
    </xf>
    <xf borderId="0" fillId="4" fontId="19" numFmtId="164" xfId="0" applyAlignment="1" applyFont="1" applyNumberFormat="1">
      <alignment horizontal="right" vertical="center"/>
    </xf>
    <xf borderId="0" fillId="0" fontId="23" numFmtId="0" xfId="0" applyAlignment="1" applyFont="1">
      <alignment readingOrder="0" vertical="center"/>
    </xf>
    <xf borderId="0" fillId="0" fontId="24" numFmtId="0" xfId="0" applyAlignment="1" applyFont="1">
      <alignment vertical="center"/>
    </xf>
    <xf borderId="7" fillId="0" fontId="13" numFmtId="0" xfId="0" applyAlignment="1" applyBorder="1" applyFont="1">
      <alignment horizontal="right" readingOrder="0" vertical="center"/>
    </xf>
    <xf borderId="0" fillId="5" fontId="15" numFmtId="164" xfId="0" applyAlignment="1" applyFont="1" applyNumberFormat="1">
      <alignment horizontal="right" vertical="center"/>
    </xf>
    <xf borderId="13" fillId="0" fontId="1" numFmtId="164" xfId="0" applyBorder="1" applyFont="1" applyNumberFormat="1"/>
    <xf borderId="7" fillId="0" fontId="25" numFmtId="0" xfId="0" applyAlignment="1" applyBorder="1" applyFont="1">
      <alignment horizontal="right" readingOrder="0" vertical="center"/>
    </xf>
    <xf borderId="0" fillId="0" fontId="26" numFmtId="0" xfId="0" applyAlignment="1" applyFont="1">
      <alignment readingOrder="0" vertical="center"/>
    </xf>
    <xf borderId="0" fillId="4" fontId="19" numFmtId="164" xfId="0" applyAlignment="1" applyFont="1" applyNumberFormat="1">
      <alignment readingOrder="0" vertical="center"/>
    </xf>
    <xf borderId="0" fillId="4" fontId="19" numFmtId="164" xfId="0" applyAlignment="1" applyFont="1" applyNumberFormat="1">
      <alignment vertical="center"/>
    </xf>
    <xf borderId="10" fillId="0" fontId="1" numFmtId="0" xfId="0" applyAlignment="1" applyBorder="1" applyFont="1">
      <alignment vertical="center"/>
    </xf>
    <xf borderId="0" fillId="0" fontId="19" numFmtId="164" xfId="0" applyAlignment="1" applyFont="1" applyNumberFormat="1">
      <alignment vertical="center"/>
    </xf>
    <xf borderId="0" fillId="0" fontId="24" numFmtId="164" xfId="0" applyAlignment="1" applyFont="1" applyNumberFormat="1">
      <alignment vertical="center"/>
    </xf>
    <xf borderId="0" fillId="4" fontId="27" numFmtId="164" xfId="0" applyAlignment="1" applyFont="1" applyNumberFormat="1">
      <alignment vertical="center"/>
    </xf>
    <xf borderId="0" fillId="3" fontId="20" numFmtId="164" xfId="0" applyAlignment="1" applyFont="1" applyNumberFormat="1">
      <alignment vertical="center"/>
    </xf>
    <xf borderId="0" fillId="4" fontId="28" numFmtId="164" xfId="0" applyAlignment="1" applyFont="1" applyNumberFormat="1">
      <alignment vertical="center"/>
    </xf>
    <xf borderId="0" fillId="0" fontId="1" numFmtId="164" xfId="0" applyAlignment="1" applyFont="1" applyNumberFormat="1">
      <alignment vertical="center"/>
    </xf>
    <xf borderId="0" fillId="0" fontId="29" numFmtId="0" xfId="0" applyAlignment="1" applyFont="1">
      <alignment vertical="center"/>
    </xf>
    <xf borderId="0" fillId="4" fontId="19" numFmtId="164" xfId="0" applyAlignment="1" applyFont="1" applyNumberFormat="1">
      <alignment horizontal="right" vertical="center"/>
    </xf>
    <xf borderId="0" fillId="4" fontId="19" numFmtId="164" xfId="0" applyAlignment="1" applyFont="1" applyNumberFormat="1">
      <alignment horizontal="right" readingOrder="0" vertical="center"/>
    </xf>
    <xf borderId="0" fillId="0" fontId="20" numFmtId="164" xfId="0" applyAlignment="1" applyFont="1" applyNumberFormat="1">
      <alignment vertical="center"/>
    </xf>
    <xf borderId="0" fillId="0" fontId="20" numFmtId="0" xfId="0" applyAlignment="1" applyFont="1">
      <alignment vertical="center"/>
    </xf>
    <xf borderId="10" fillId="0" fontId="1" numFmtId="0" xfId="0" applyBorder="1" applyFont="1"/>
    <xf borderId="11" fillId="0" fontId="1" numFmtId="0" xfId="0" applyBorder="1" applyFont="1"/>
    <xf borderId="0" fillId="0" fontId="19" numFmtId="0" xfId="0" applyFont="1"/>
    <xf borderId="5" fillId="0" fontId="12" numFmtId="164" xfId="0" applyAlignment="1" applyBorder="1" applyFont="1" applyNumberFormat="1">
      <alignment horizontal="right" readingOrder="0" shrinkToFit="0" vertical="bottom" wrapText="1"/>
    </xf>
    <xf borderId="0" fillId="0" fontId="12" numFmtId="164" xfId="0" applyAlignment="1" applyFont="1" applyNumberFormat="1">
      <alignment horizontal="right" readingOrder="0" vertical="bottom"/>
    </xf>
    <xf borderId="12" fillId="0" fontId="1" numFmtId="164" xfId="0" applyAlignment="1" applyBorder="1" applyFont="1" applyNumberFormat="1">
      <alignment vertical="center"/>
    </xf>
    <xf borderId="0" fillId="0" fontId="30" numFmtId="0" xfId="0" applyAlignment="1" applyFont="1">
      <alignment readingOrder="0" vertical="center"/>
    </xf>
    <xf borderId="0" fillId="0" fontId="30" numFmtId="0" xfId="0" applyAlignment="1" applyFont="1">
      <alignment vertical="center"/>
    </xf>
    <xf borderId="14" fillId="0" fontId="13" numFmtId="0" xfId="0" applyAlignment="1" applyBorder="1" applyFont="1">
      <alignment horizontal="right" readingOrder="0" shrinkToFit="0" vertical="center" wrapText="1"/>
    </xf>
    <xf borderId="0" fillId="5" fontId="16" numFmtId="165" xfId="0" applyAlignment="1" applyFont="1" applyNumberFormat="1">
      <alignment horizontal="right" vertical="center"/>
    </xf>
    <xf borderId="12" fillId="0" fontId="31" numFmtId="0" xfId="0" applyBorder="1" applyFont="1"/>
    <xf borderId="0" fillId="0" fontId="32" numFmtId="0" xfId="0" applyAlignment="1" applyFont="1">
      <alignment vertical="center"/>
    </xf>
    <xf borderId="15" fillId="0" fontId="21" numFmtId="0" xfId="0" applyAlignment="1" applyBorder="1" applyFont="1">
      <alignment vertical="center"/>
    </xf>
    <xf borderId="0" fillId="0" fontId="1" numFmtId="164" xfId="0" applyFont="1" applyNumberFormat="1"/>
    <xf borderId="0" fillId="6" fontId="1" numFmtId="0" xfId="0" applyFill="1" applyFont="1"/>
    <xf borderId="0" fillId="6" fontId="1" numFmtId="0" xfId="0" applyAlignment="1" applyFont="1">
      <alignment vertical="bottom"/>
    </xf>
    <xf borderId="1" fillId="0" fontId="1" numFmtId="0" xfId="0" applyAlignment="1" applyBorder="1" applyFont="1">
      <alignment vertical="bottom"/>
    </xf>
    <xf borderId="1" fillId="0" fontId="1" numFmtId="0" xfId="0" applyBorder="1" applyFont="1"/>
    <xf borderId="0" fillId="0" fontId="1" numFmtId="0" xfId="0" applyFont="1"/>
    <xf borderId="2" fillId="0" fontId="33" numFmtId="0" xfId="0" applyAlignment="1" applyBorder="1" applyFont="1">
      <alignment shrinkToFit="0" vertical="bottom" wrapText="0"/>
    </xf>
    <xf borderId="0" fillId="0" fontId="33" numFmtId="0" xfId="0" applyAlignment="1" applyFont="1">
      <alignment horizontal="left" vertical="bottom"/>
    </xf>
    <xf borderId="2" fillId="0" fontId="32" numFmtId="0" xfId="0" applyAlignment="1" applyBorder="1" applyFont="1">
      <alignment shrinkToFit="0" wrapText="0"/>
    </xf>
    <xf borderId="2" fillId="0" fontId="1" numFmtId="0" xfId="0" applyBorder="1" applyFont="1"/>
    <xf borderId="0" fillId="7" fontId="34" numFmtId="0" xfId="0" applyAlignment="1" applyFill="1" applyFont="1">
      <alignment horizontal="left" readingOrder="0" vertical="center"/>
    </xf>
    <xf borderId="0" fillId="7" fontId="1" numFmtId="0" xfId="0" applyFont="1"/>
    <xf borderId="16" fillId="3" fontId="32" numFmtId="0" xfId="0" applyAlignment="1" applyBorder="1" applyFont="1">
      <alignment shrinkToFit="0" vertical="top" wrapText="0"/>
    </xf>
    <xf borderId="16" fillId="3" fontId="1" numFmtId="0" xfId="0" applyAlignment="1" applyBorder="1" applyFont="1">
      <alignment vertical="top"/>
    </xf>
    <xf borderId="16" fillId="0" fontId="1" numFmtId="0" xfId="0" applyAlignment="1" applyBorder="1" applyFont="1">
      <alignment vertical="top"/>
    </xf>
    <xf borderId="1" fillId="0" fontId="1" numFmtId="0" xfId="0" applyAlignment="1" applyBorder="1" applyFont="1">
      <alignment vertical="top"/>
    </xf>
    <xf borderId="1" fillId="0" fontId="35" numFmtId="0" xfId="0" applyAlignment="1" applyBorder="1" applyFont="1">
      <alignment readingOrder="0" vertical="top"/>
    </xf>
    <xf borderId="17" fillId="0" fontId="10" numFmtId="0" xfId="0" applyAlignment="1" applyBorder="1" applyFont="1">
      <alignment readingOrder="0" shrinkToFit="0" wrapText="0"/>
    </xf>
    <xf borderId="18" fillId="0" fontId="1" numFmtId="0" xfId="0" applyBorder="1" applyFont="1"/>
    <xf borderId="19" fillId="0" fontId="1" numFmtId="164" xfId="0" applyBorder="1" applyFont="1" applyNumberFormat="1"/>
    <xf borderId="20" fillId="3" fontId="11" numFmtId="166" xfId="0" applyAlignment="1" applyBorder="1" applyFont="1" applyNumberFormat="1">
      <alignment horizontal="right" shrinkToFit="0" wrapText="1"/>
    </xf>
    <xf borderId="21" fillId="0" fontId="1" numFmtId="164" xfId="0" applyAlignment="1" applyBorder="1" applyFont="1" applyNumberFormat="1">
      <alignment vertical="bottom"/>
    </xf>
    <xf borderId="22" fillId="0" fontId="1" numFmtId="0" xfId="0" applyAlignment="1" applyBorder="1" applyFont="1">
      <alignment vertical="bottom"/>
    </xf>
    <xf borderId="23" fillId="8" fontId="36" numFmtId="164" xfId="0" applyAlignment="1" applyBorder="1" applyFill="1" applyFont="1" applyNumberFormat="1">
      <alignment vertical="center"/>
    </xf>
    <xf borderId="23" fillId="8" fontId="37" numFmtId="0" xfId="0" applyAlignment="1" applyBorder="1" applyFont="1">
      <alignment horizontal="center" vertical="center"/>
    </xf>
    <xf borderId="23" fillId="0" fontId="31" numFmtId="0" xfId="0" applyBorder="1" applyFont="1"/>
    <xf borderId="24" fillId="0" fontId="24" numFmtId="0" xfId="0" applyBorder="1" applyFont="1"/>
    <xf borderId="0" fillId="0" fontId="38" numFmtId="0" xfId="0" applyFont="1"/>
    <xf borderId="0" fillId="0" fontId="9" numFmtId="164" xfId="0" applyAlignment="1" applyFont="1" applyNumberFormat="1">
      <alignment horizontal="right"/>
    </xf>
    <xf borderId="21" fillId="0" fontId="31" numFmtId="0" xfId="0" applyBorder="1" applyFont="1"/>
    <xf borderId="25" fillId="0" fontId="31" numFmtId="0" xfId="0" applyBorder="1" applyFont="1"/>
    <xf borderId="0" fillId="0" fontId="1" numFmtId="0" xfId="0" applyAlignment="1" applyFont="1">
      <alignment vertical="top"/>
    </xf>
    <xf borderId="25" fillId="0" fontId="38" numFmtId="0" xfId="0" applyAlignment="1" applyBorder="1" applyFont="1">
      <alignment vertical="top"/>
    </xf>
    <xf borderId="25" fillId="0" fontId="9" numFmtId="164" xfId="0" applyAlignment="1" applyBorder="1" applyFont="1" applyNumberFormat="1">
      <alignment horizontal="right" vertical="top"/>
    </xf>
    <xf borderId="0" fillId="0" fontId="1" numFmtId="164" xfId="0" applyAlignment="1" applyFont="1" applyNumberFormat="1">
      <alignment vertical="bottom"/>
    </xf>
    <xf borderId="0" fillId="8" fontId="36" numFmtId="164" xfId="0" applyAlignment="1" applyFont="1" applyNumberFormat="1">
      <alignment horizontal="right" vertical="center"/>
    </xf>
    <xf borderId="0" fillId="8" fontId="36" numFmtId="0" xfId="0" applyAlignment="1" applyFont="1">
      <alignment horizontal="center" vertical="bottom"/>
    </xf>
    <xf borderId="0" fillId="0" fontId="39" numFmtId="0" xfId="0" applyAlignment="1" applyFont="1">
      <alignment vertical="bottom"/>
    </xf>
    <xf borderId="0" fillId="0" fontId="9" numFmtId="164" xfId="0" applyAlignment="1" applyFont="1" applyNumberFormat="1">
      <alignment horizontal="right" vertical="bottom"/>
    </xf>
    <xf borderId="0" fillId="8" fontId="37" numFmtId="0" xfId="0" applyAlignment="1" applyFont="1">
      <alignment horizontal="center" vertical="bottom"/>
    </xf>
    <xf borderId="22" fillId="0" fontId="31" numFmtId="0" xfId="0" applyBorder="1" applyFont="1"/>
    <xf borderId="26" fillId="0" fontId="31" numFmtId="0" xfId="0" applyBorder="1" applyFont="1"/>
    <xf borderId="26" fillId="8" fontId="4" numFmtId="0" xfId="0" applyAlignment="1" applyBorder="1" applyFont="1">
      <alignment horizontal="center" vertical="center"/>
    </xf>
    <xf borderId="27" fillId="8" fontId="4" numFmtId="0" xfId="0" applyAlignment="1" applyBorder="1" applyFont="1">
      <alignment horizontal="center" vertical="center"/>
    </xf>
    <xf borderId="2" fillId="0" fontId="1" numFmtId="0" xfId="0" applyAlignment="1" applyBorder="1" applyFont="1">
      <alignment vertical="bottom"/>
    </xf>
    <xf borderId="21" fillId="0" fontId="40" numFmtId="0" xfId="0" applyAlignment="1" applyBorder="1" applyFont="1">
      <alignment horizontal="center" readingOrder="0" shrinkToFit="0" vertical="bottom" wrapText="0"/>
    </xf>
    <xf borderId="2" fillId="0" fontId="41" numFmtId="164" xfId="0" applyAlignment="1" applyBorder="1" applyFont="1" applyNumberFormat="1">
      <alignment horizontal="center" readingOrder="0" shrinkToFit="0" vertical="bottom" wrapText="0"/>
    </xf>
    <xf borderId="28" fillId="0" fontId="10" numFmtId="0" xfId="0" applyAlignment="1" applyBorder="1" applyFont="1">
      <alignment readingOrder="0"/>
    </xf>
    <xf borderId="21" fillId="0" fontId="42" numFmtId="164" xfId="0" applyAlignment="1" applyBorder="1" applyFont="1" applyNumberFormat="1">
      <alignment horizontal="center" vertical="top"/>
    </xf>
    <xf borderId="0" fillId="0" fontId="43" numFmtId="164" xfId="0" applyAlignment="1" applyFont="1" applyNumberFormat="1">
      <alignment horizontal="center" vertical="top"/>
    </xf>
    <xf borderId="13" fillId="0" fontId="44" numFmtId="0" xfId="0" applyAlignment="1" applyBorder="1" applyFont="1">
      <alignment horizontal="right"/>
    </xf>
    <xf borderId="13" fillId="0" fontId="45" numFmtId="0" xfId="0" applyAlignment="1" applyBorder="1" applyFont="1">
      <alignment horizontal="right"/>
    </xf>
    <xf borderId="13" fillId="0" fontId="38" numFmtId="164" xfId="0" applyBorder="1" applyFont="1" applyNumberFormat="1"/>
    <xf borderId="13" fillId="0" fontId="9" numFmtId="164" xfId="0" applyAlignment="1" applyBorder="1" applyFont="1" applyNumberFormat="1">
      <alignment horizontal="right" readingOrder="0"/>
    </xf>
    <xf borderId="18" fillId="0" fontId="45" numFmtId="0" xfId="0" applyBorder="1" applyFont="1"/>
    <xf borderId="0" fillId="0" fontId="24" numFmtId="0" xfId="0" applyFont="1"/>
    <xf borderId="0" fillId="3" fontId="1" numFmtId="167" xfId="0" applyFont="1" applyNumberFormat="1"/>
    <xf borderId="0" fillId="0" fontId="1" numFmtId="164" xfId="0" applyFont="1" applyNumberFormat="1"/>
    <xf borderId="19" fillId="0" fontId="1" numFmtId="0" xfId="0" applyBorder="1" applyFont="1"/>
    <xf borderId="18" fillId="0" fontId="38" numFmtId="164" xfId="0" applyBorder="1" applyFont="1" applyNumberFormat="1"/>
    <xf borderId="13" fillId="0" fontId="46" numFmtId="164" xfId="0" applyAlignment="1" applyBorder="1" applyFont="1" applyNumberFormat="1">
      <alignment horizontal="right"/>
    </xf>
    <xf borderId="28" fillId="0" fontId="1" numFmtId="0" xfId="0" applyBorder="1" applyFont="1"/>
    <xf borderId="13" fillId="0" fontId="9" numFmtId="164" xfId="0" applyAlignment="1" applyBorder="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accent2"/>
                </a:solidFill>
                <a:latin typeface="Arial"/>
              </a:defRPr>
            </a:pPr>
            <a:r>
              <a:rPr b="1" sz="1200">
                <a:solidFill>
                  <a:schemeClr val="accent2"/>
                </a:solidFill>
                <a:latin typeface="Arial"/>
              </a:rPr>
              <a:t>Monthly $ spent per category</a:t>
            </a:r>
          </a:p>
        </c:rich>
      </c:tx>
      <c:overlay val="0"/>
    </c:title>
    <c:plotArea>
      <c:layout/>
      <c:barChart>
        <c:barDir val="col"/>
        <c:ser>
          <c:idx val="0"/>
          <c:order val="0"/>
          <c:spPr>
            <a:solidFill>
              <a:schemeClr val="accent1"/>
            </a:solidFill>
            <a:ln cmpd="sng">
              <a:solidFill>
                <a:srgbClr val="000000"/>
              </a:solidFill>
            </a:ln>
          </c:spPr>
          <c:cat>
            <c:strRef>
              <c:f>Summary!$C$24:$C$28</c:f>
            </c:strRef>
          </c:cat>
          <c:val>
            <c:numRef>
              <c:f>Summary!$D$24:$D$28</c:f>
              <c:numCache/>
            </c:numRef>
          </c:val>
        </c:ser>
        <c:axId val="1313515728"/>
        <c:axId val="1165545181"/>
      </c:barChart>
      <c:catAx>
        <c:axId val="13135157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chemeClr val="dk1"/>
                </a:solidFill>
                <a:latin typeface="+mn-lt"/>
              </a:defRPr>
            </a:pPr>
          </a:p>
        </c:txPr>
        <c:crossAx val="1165545181"/>
      </c:catAx>
      <c:valAx>
        <c:axId val="11655451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3515728"/>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xdr:row>
      <xdr:rowOff>361950</xdr:rowOff>
    </xdr:from>
    <xdr:ext cx="5934075" cy="2867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6192E"/>
      </a:accent1>
      <a:accent2>
        <a:srgbClr val="CC0633"/>
      </a:accent2>
      <a:accent3>
        <a:srgbClr val="54585A"/>
      </a:accent3>
      <a:accent4>
        <a:srgbClr val="34A853"/>
      </a:accent4>
      <a:accent5>
        <a:srgbClr val="93C47D"/>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min="2" max="2" width="14.63"/>
    <col customWidth="1" min="3" max="3" width="26.0"/>
    <col customWidth="1" min="4" max="5" width="8.13"/>
    <col customWidth="1" min="6" max="7" width="5.13"/>
  </cols>
  <sheetData>
    <row r="1" ht="6.0" customHeight="1">
      <c r="A1" s="1"/>
      <c r="B1" s="2"/>
      <c r="C1" s="2"/>
      <c r="D1" s="2"/>
      <c r="E1" s="2"/>
      <c r="F1" s="2"/>
      <c r="G1" s="2"/>
    </row>
    <row r="2" ht="42.0" customHeight="1">
      <c r="A2" s="3"/>
      <c r="B2" s="4" t="s">
        <v>0</v>
      </c>
      <c r="D2" s="5"/>
      <c r="E2" s="5"/>
      <c r="F2" s="5"/>
      <c r="G2" s="5"/>
    </row>
    <row r="3">
      <c r="A3" s="3"/>
      <c r="B3" s="6" t="s">
        <v>1</v>
      </c>
      <c r="G3" s="5"/>
    </row>
    <row r="4">
      <c r="A4" s="3"/>
      <c r="B4" s="7"/>
      <c r="C4" s="7"/>
      <c r="D4" s="7"/>
      <c r="E4" s="7"/>
      <c r="F4" s="7"/>
      <c r="G4" s="5"/>
    </row>
    <row r="5">
      <c r="A5" s="3"/>
      <c r="B5" s="5"/>
      <c r="C5" s="5"/>
      <c r="D5" s="5"/>
      <c r="E5" s="5"/>
      <c r="F5" s="5"/>
      <c r="G5" s="8"/>
    </row>
    <row r="6">
      <c r="A6" s="3"/>
      <c r="B6" s="9" t="s">
        <v>2</v>
      </c>
      <c r="C6" s="5"/>
      <c r="D6" s="5"/>
      <c r="E6" s="5"/>
      <c r="F6" s="5"/>
      <c r="G6" s="10"/>
    </row>
    <row r="7" ht="81.0" customHeight="1">
      <c r="A7" s="3"/>
      <c r="B7" s="11" t="s">
        <v>3</v>
      </c>
      <c r="G7" s="10"/>
    </row>
    <row r="8" ht="20.25" customHeight="1">
      <c r="A8" s="3"/>
      <c r="B8" s="12"/>
      <c r="C8" s="5"/>
      <c r="D8" s="5"/>
      <c r="E8" s="5"/>
      <c r="F8" s="5"/>
      <c r="G8" s="10"/>
    </row>
    <row r="9">
      <c r="A9" s="3"/>
      <c r="B9" s="13" t="s">
        <v>4</v>
      </c>
      <c r="C9" s="5"/>
      <c r="D9" s="5"/>
      <c r="E9" s="5"/>
      <c r="F9" s="5"/>
      <c r="G9" s="10"/>
    </row>
    <row r="10">
      <c r="A10" s="14" t="s">
        <v>5</v>
      </c>
      <c r="B10" s="15" t="s">
        <v>6</v>
      </c>
      <c r="G10" s="16"/>
    </row>
    <row r="11">
      <c r="A11" s="17" t="s">
        <v>7</v>
      </c>
      <c r="B11" s="18" t="s">
        <v>8</v>
      </c>
      <c r="G11" s="19"/>
    </row>
    <row r="12">
      <c r="A12" s="17" t="s">
        <v>9</v>
      </c>
      <c r="B12" s="15" t="s">
        <v>10</v>
      </c>
      <c r="G12" s="19"/>
    </row>
    <row r="13">
      <c r="A13" s="3"/>
      <c r="B13" s="7"/>
      <c r="C13" s="7"/>
      <c r="D13" s="7"/>
      <c r="E13" s="7"/>
      <c r="F13" s="7"/>
      <c r="G13" s="5"/>
    </row>
    <row r="14">
      <c r="A14" s="3"/>
      <c r="B14" s="5"/>
      <c r="C14" s="5"/>
      <c r="D14" s="5"/>
      <c r="E14" s="5"/>
      <c r="F14" s="5"/>
      <c r="G14" s="5"/>
    </row>
  </sheetData>
  <mergeCells count="6">
    <mergeCell ref="B2:C2"/>
    <mergeCell ref="B3:F3"/>
    <mergeCell ref="B7:F7"/>
    <mergeCell ref="B10:F10"/>
    <mergeCell ref="B11:F11"/>
    <mergeCell ref="B12:F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4.38"/>
    <col customWidth="1" min="2" max="2" width="2.0"/>
    <col customWidth="1" min="3" max="3" width="22.63"/>
    <col customWidth="1" min="4" max="6" width="10.13"/>
    <col customWidth="1" min="7" max="8" width="11.38"/>
    <col customWidth="1" min="9" max="9" width="8.88"/>
  </cols>
  <sheetData>
    <row r="1" ht="3.75" customHeight="1">
      <c r="A1" s="20"/>
      <c r="B1" s="21"/>
      <c r="C1" s="21"/>
      <c r="D1" s="22"/>
      <c r="E1" s="22"/>
      <c r="F1" s="22"/>
      <c r="G1" s="22"/>
      <c r="H1" s="22"/>
      <c r="I1" s="22"/>
    </row>
    <row r="2" ht="38.25" customHeight="1">
      <c r="A2" s="23"/>
      <c r="B2" s="24"/>
      <c r="C2" s="25" t="s">
        <v>11</v>
      </c>
      <c r="D2" s="26" t="s">
        <v>12</v>
      </c>
      <c r="E2" s="26" t="s">
        <v>13</v>
      </c>
      <c r="F2" s="26" t="s">
        <v>14</v>
      </c>
      <c r="G2" s="27" t="s">
        <v>15</v>
      </c>
      <c r="H2" s="27" t="s">
        <v>16</v>
      </c>
      <c r="I2" s="24"/>
    </row>
    <row r="3" ht="24.0" customHeight="1">
      <c r="A3" s="28" t="s">
        <v>17</v>
      </c>
      <c r="B3" s="29"/>
      <c r="C3" s="30" t="s">
        <v>18</v>
      </c>
      <c r="D3" s="31"/>
      <c r="E3" s="32"/>
      <c r="F3" s="32"/>
      <c r="G3" s="33">
        <f t="shared" ref="G3:H3" si="1">sum(G4:G8)</f>
        <v>697.4166667</v>
      </c>
      <c r="H3" s="33">
        <f t="shared" si="1"/>
        <v>8369</v>
      </c>
      <c r="I3" s="34"/>
    </row>
    <row r="4" ht="19.5" customHeight="1" outlineLevel="1">
      <c r="A4" s="35"/>
      <c r="B4" s="36"/>
      <c r="C4" s="37" t="str">
        <f>HYPERLINK("https://www.sfu.ca/students/calendar/fees-and-regulations/tuition-fees/graduate.html","Tuition (per semester)")</f>
        <v>Tuition (per semester)</v>
      </c>
      <c r="D4" s="38"/>
      <c r="E4" s="38">
        <v>2110.0</v>
      </c>
      <c r="F4" s="38"/>
      <c r="G4" s="39">
        <f t="shared" ref="G4:G8" si="2">H4/12</f>
        <v>527.5</v>
      </c>
      <c r="H4" s="40">
        <f t="shared" ref="H4:H8" si="3">(D4*12)+(E4/4*12)+F4</f>
        <v>6330</v>
      </c>
      <c r="I4" s="41"/>
    </row>
    <row r="5" ht="19.5" customHeight="1" outlineLevel="1">
      <c r="A5" s="35"/>
      <c r="B5" s="36"/>
      <c r="C5" s="42" t="s">
        <v>19</v>
      </c>
      <c r="D5" s="38"/>
      <c r="E5" s="38">
        <v>250.0</v>
      </c>
      <c r="F5" s="38"/>
      <c r="G5" s="40">
        <f t="shared" si="2"/>
        <v>62.5</v>
      </c>
      <c r="H5" s="40">
        <f t="shared" si="3"/>
        <v>750</v>
      </c>
      <c r="I5" s="41"/>
    </row>
    <row r="6" ht="19.5" customHeight="1" outlineLevel="1">
      <c r="A6" s="35"/>
      <c r="B6" s="36"/>
      <c r="C6" s="43" t="s">
        <v>20</v>
      </c>
      <c r="D6" s="38"/>
      <c r="E6" s="38"/>
      <c r="F6" s="38">
        <v>800.0</v>
      </c>
      <c r="G6" s="40">
        <f t="shared" si="2"/>
        <v>66.66666667</v>
      </c>
      <c r="H6" s="40">
        <f t="shared" si="3"/>
        <v>800</v>
      </c>
      <c r="I6" s="41"/>
    </row>
    <row r="7" ht="19.5" customHeight="1" outlineLevel="1">
      <c r="A7" s="35"/>
      <c r="B7" s="36"/>
      <c r="C7" s="44" t="str">
        <f>HYPERLINK("http://www.sfu.ca/students/calendar/fees-and-regulations/tuition-fees/graduate.html#saf","Graduate Student Activity Fee")</f>
        <v>Graduate Student Activity Fee</v>
      </c>
      <c r="D7" s="45"/>
      <c r="E7" s="38">
        <v>76.0</v>
      </c>
      <c r="F7" s="45"/>
      <c r="G7" s="40">
        <f t="shared" si="2"/>
        <v>19</v>
      </c>
      <c r="H7" s="40">
        <f t="shared" si="3"/>
        <v>228</v>
      </c>
      <c r="I7" s="41"/>
    </row>
    <row r="8" ht="19.5" customHeight="1" outlineLevel="1">
      <c r="A8" s="35"/>
      <c r="B8" s="36"/>
      <c r="C8" s="46" t="str">
        <f>HYPERLINK("http://www.sfu.ca/students/calendar/fees-and-regulations/tuition-fees/graduate.html#saf","Recreation/Athletic Fees")</f>
        <v>Recreation/Athletic Fees</v>
      </c>
      <c r="D8" s="45"/>
      <c r="E8" s="38">
        <v>87.0</v>
      </c>
      <c r="F8" s="45"/>
      <c r="G8" s="40">
        <f t="shared" si="2"/>
        <v>21.75</v>
      </c>
      <c r="H8" s="40">
        <f t="shared" si="3"/>
        <v>261</v>
      </c>
      <c r="I8" s="41"/>
    </row>
    <row r="9" ht="19.5" customHeight="1">
      <c r="A9" s="35"/>
      <c r="B9" s="36"/>
      <c r="C9" s="47"/>
      <c r="D9" s="47"/>
      <c r="E9" s="47"/>
      <c r="F9" s="47"/>
      <c r="G9" s="47"/>
      <c r="H9" s="47"/>
      <c r="I9" s="41"/>
    </row>
    <row r="10" ht="24.0" customHeight="1">
      <c r="A10" s="48" t="s">
        <v>21</v>
      </c>
      <c r="B10" s="29"/>
      <c r="C10" s="30" t="s">
        <v>18</v>
      </c>
      <c r="D10" s="49"/>
      <c r="E10" s="49"/>
      <c r="F10" s="49"/>
      <c r="G10" s="33">
        <f t="shared" ref="G10:H10" si="4">sum(G11:G17)</f>
        <v>2460</v>
      </c>
      <c r="H10" s="33">
        <f t="shared" si="4"/>
        <v>29520</v>
      </c>
      <c r="I10" s="50"/>
    </row>
    <row r="11" ht="19.5" customHeight="1" outlineLevel="1">
      <c r="A11" s="51"/>
      <c r="B11" s="36"/>
      <c r="C11" s="52" t="str">
        <f>HYPERLINK("https://www.sfu.ca/students/residences/housing-options/","Rent")</f>
        <v>Rent</v>
      </c>
      <c r="D11" s="53">
        <v>1450.0</v>
      </c>
      <c r="E11" s="53"/>
      <c r="F11" s="54"/>
      <c r="G11" s="40">
        <f t="shared" ref="G11:G17" si="5">H11/12</f>
        <v>1450</v>
      </c>
      <c r="H11" s="40">
        <f t="shared" ref="H11:H17" si="6">(D11*12)+(E11/4*12)+F11</f>
        <v>17400</v>
      </c>
      <c r="I11" s="41"/>
    </row>
    <row r="12" ht="19.5" customHeight="1" outlineLevel="1">
      <c r="A12" s="55"/>
      <c r="B12" s="36"/>
      <c r="C12" s="43" t="s">
        <v>22</v>
      </c>
      <c r="D12" s="53">
        <v>600.0</v>
      </c>
      <c r="E12" s="54"/>
      <c r="F12" s="54"/>
      <c r="G12" s="40">
        <f t="shared" si="5"/>
        <v>600</v>
      </c>
      <c r="H12" s="40">
        <f t="shared" si="6"/>
        <v>7200</v>
      </c>
      <c r="I12" s="41"/>
    </row>
    <row r="13" ht="19.5" customHeight="1" outlineLevel="1">
      <c r="A13" s="55"/>
      <c r="B13" s="36"/>
      <c r="C13" s="43" t="s">
        <v>23</v>
      </c>
      <c r="D13" s="53">
        <v>200.0</v>
      </c>
      <c r="E13" s="54"/>
      <c r="F13" s="54"/>
      <c r="G13" s="40">
        <f t="shared" si="5"/>
        <v>200</v>
      </c>
      <c r="H13" s="40">
        <f t="shared" si="6"/>
        <v>2400</v>
      </c>
      <c r="I13" s="41"/>
    </row>
    <row r="14" ht="19.5" customHeight="1" outlineLevel="1">
      <c r="A14" s="55"/>
      <c r="B14" s="36"/>
      <c r="C14" s="43" t="s">
        <v>24</v>
      </c>
      <c r="D14" s="53">
        <v>75.0</v>
      </c>
      <c r="E14" s="54"/>
      <c r="F14" s="54"/>
      <c r="G14" s="40">
        <f t="shared" si="5"/>
        <v>75</v>
      </c>
      <c r="H14" s="40">
        <f t="shared" si="6"/>
        <v>900</v>
      </c>
      <c r="I14" s="41"/>
    </row>
    <row r="15" ht="19.5" customHeight="1" outlineLevel="1">
      <c r="A15" s="55"/>
      <c r="B15" s="36"/>
      <c r="C15" s="43" t="s">
        <v>25</v>
      </c>
      <c r="D15" s="53">
        <v>60.0</v>
      </c>
      <c r="E15" s="54"/>
      <c r="F15" s="54"/>
      <c r="G15" s="40">
        <f t="shared" si="5"/>
        <v>60</v>
      </c>
      <c r="H15" s="40">
        <f t="shared" si="6"/>
        <v>720</v>
      </c>
      <c r="I15" s="41"/>
    </row>
    <row r="16" ht="19.5" customHeight="1" outlineLevel="1">
      <c r="A16" s="55"/>
      <c r="B16" s="36"/>
      <c r="C16" s="43" t="s">
        <v>26</v>
      </c>
      <c r="D16" s="53">
        <v>75.0</v>
      </c>
      <c r="E16" s="54"/>
      <c r="F16" s="54"/>
      <c r="G16" s="40">
        <f t="shared" si="5"/>
        <v>75</v>
      </c>
      <c r="H16" s="40">
        <f t="shared" si="6"/>
        <v>900</v>
      </c>
      <c r="I16" s="41"/>
    </row>
    <row r="17" ht="19.5" customHeight="1" outlineLevel="1">
      <c r="A17" s="55"/>
      <c r="B17" s="36"/>
      <c r="C17" s="42" t="s">
        <v>27</v>
      </c>
      <c r="D17" s="54"/>
      <c r="E17" s="54"/>
      <c r="F17" s="54"/>
      <c r="G17" s="40">
        <f t="shared" si="5"/>
        <v>0</v>
      </c>
      <c r="H17" s="40">
        <f t="shared" si="6"/>
        <v>0</v>
      </c>
      <c r="I17" s="41"/>
    </row>
    <row r="18" ht="19.5" customHeight="1">
      <c r="A18" s="55"/>
      <c r="B18" s="36"/>
      <c r="C18" s="42"/>
      <c r="D18" s="56"/>
      <c r="E18" s="56"/>
      <c r="F18" s="56"/>
      <c r="G18" s="57"/>
      <c r="H18" s="57"/>
      <c r="I18" s="41"/>
    </row>
    <row r="19" ht="24.0" customHeight="1">
      <c r="A19" s="48" t="s">
        <v>28</v>
      </c>
      <c r="B19" s="29"/>
      <c r="C19" s="30" t="s">
        <v>18</v>
      </c>
      <c r="D19" s="49"/>
      <c r="E19" s="49"/>
      <c r="F19" s="49"/>
      <c r="G19" s="33">
        <f t="shared" ref="G19:H19" si="7">sum(G20:G25)</f>
        <v>79.16666667</v>
      </c>
      <c r="H19" s="33">
        <f t="shared" si="7"/>
        <v>950</v>
      </c>
      <c r="I19" s="50"/>
    </row>
    <row r="20" ht="19.5" customHeight="1" outlineLevel="1">
      <c r="A20" s="51"/>
      <c r="B20" s="36"/>
      <c r="C20" s="37" t="str">
        <f>HYPERLINK("https://www2.gov.bc.ca/gov/content/health/health-drug-coverage/msp","BC MSP")</f>
        <v>BC MSP</v>
      </c>
      <c r="D20" s="53">
        <v>37.5</v>
      </c>
      <c r="E20" s="58"/>
      <c r="F20" s="58"/>
      <c r="G20" s="40">
        <f t="shared" ref="G20:G25" si="8">H20/12</f>
        <v>37.5</v>
      </c>
      <c r="H20" s="59">
        <f t="shared" ref="H20:H25" si="9">(D20*12)+(E20/4*12)+F20</f>
        <v>450</v>
      </c>
      <c r="I20" s="41"/>
    </row>
    <row r="21" ht="19.5" customHeight="1" outlineLevel="1">
      <c r="A21" s="55"/>
      <c r="B21" s="36"/>
      <c r="C21" s="37" t="str">
        <f>HYPERLINK("http://www.studentcare.ca/View.aspx?locale=en&amp;uid=IHaveAPlan_SFUSimonFraserUniversitygraduatestudentsGSS_Home","GSS Benefit Plan")</f>
        <v>GSS Benefit Plan</v>
      </c>
      <c r="D21" s="60"/>
      <c r="E21" s="53"/>
      <c r="F21" s="53">
        <v>500.0</v>
      </c>
      <c r="G21" s="40">
        <f t="shared" si="8"/>
        <v>41.66666667</v>
      </c>
      <c r="H21" s="59">
        <f t="shared" si="9"/>
        <v>500</v>
      </c>
      <c r="I21" s="41"/>
    </row>
    <row r="22" ht="19.5" customHeight="1" outlineLevel="1">
      <c r="A22" s="55"/>
      <c r="B22" s="36"/>
      <c r="C22" s="37" t="str">
        <f>HYPERLINK("https://www.sfu.ca/content/dam/sfu/human-resources/forms-documents/benefits/2020-Benefits/TSSU%20Benefit%20Summary%20January%202020.pdf","TSSU Benefits Plan")</f>
        <v>TSSU Benefits Plan</v>
      </c>
      <c r="D22" s="60"/>
      <c r="E22" s="58"/>
      <c r="F22" s="58"/>
      <c r="G22" s="40">
        <f t="shared" si="8"/>
        <v>0</v>
      </c>
      <c r="H22" s="59">
        <f t="shared" si="9"/>
        <v>0</v>
      </c>
      <c r="I22" s="41"/>
    </row>
    <row r="23" ht="19.5" customHeight="1" outlineLevel="1">
      <c r="A23" s="55"/>
      <c r="B23" s="36"/>
      <c r="C23" s="52" t="str">
        <f>HYPERLINK("https://www.guard.me/sfu/","guard.me@SFU Plan")</f>
        <v>guard.me@SFU Plan</v>
      </c>
      <c r="D23" s="60"/>
      <c r="E23" s="58"/>
      <c r="F23" s="58"/>
      <c r="G23" s="40">
        <f t="shared" si="8"/>
        <v>0</v>
      </c>
      <c r="H23" s="59">
        <f t="shared" si="9"/>
        <v>0</v>
      </c>
      <c r="I23" s="41"/>
    </row>
    <row r="24" ht="19.5" customHeight="1" outlineLevel="1">
      <c r="A24" s="55"/>
      <c r="B24" s="36"/>
      <c r="C24" s="42" t="s">
        <v>29</v>
      </c>
      <c r="D24" s="60"/>
      <c r="E24" s="58"/>
      <c r="F24" s="58"/>
      <c r="G24" s="40">
        <f t="shared" si="8"/>
        <v>0</v>
      </c>
      <c r="H24" s="59">
        <f t="shared" si="9"/>
        <v>0</v>
      </c>
      <c r="I24" s="41"/>
    </row>
    <row r="25" ht="19.5" customHeight="1" outlineLevel="1">
      <c r="A25" s="55"/>
      <c r="B25" s="36"/>
      <c r="C25" s="42" t="s">
        <v>27</v>
      </c>
      <c r="D25" s="60"/>
      <c r="E25" s="58"/>
      <c r="F25" s="58"/>
      <c r="G25" s="40">
        <f t="shared" si="8"/>
        <v>0</v>
      </c>
      <c r="H25" s="59">
        <f t="shared" si="9"/>
        <v>0</v>
      </c>
      <c r="I25" s="41"/>
    </row>
    <row r="26" ht="19.5" customHeight="1">
      <c r="A26" s="55"/>
      <c r="B26" s="36"/>
      <c r="C26" s="42"/>
      <c r="D26" s="61"/>
      <c r="E26" s="47"/>
      <c r="F26" s="47"/>
      <c r="G26" s="62"/>
      <c r="H26" s="62"/>
      <c r="I26" s="41"/>
    </row>
    <row r="27" ht="24.0" customHeight="1">
      <c r="A27" s="28" t="s">
        <v>30</v>
      </c>
      <c r="B27" s="29"/>
      <c r="C27" s="30" t="s">
        <v>18</v>
      </c>
      <c r="D27" s="49"/>
      <c r="E27" s="49"/>
      <c r="F27" s="49"/>
      <c r="G27" s="33">
        <f t="shared" ref="G27:H27" si="10">sum(G28:G34)</f>
        <v>86</v>
      </c>
      <c r="H27" s="33">
        <f t="shared" si="10"/>
        <v>1032</v>
      </c>
      <c r="I27" s="50"/>
    </row>
    <row r="28" ht="19.5" customHeight="1" outlineLevel="1">
      <c r="A28" s="55"/>
      <c r="B28" s="36"/>
      <c r="C28" s="37" t="str">
        <f>HYPERLINK("https://www.sfu.ca/students/upass.html","U-Pass")</f>
        <v>U-Pass</v>
      </c>
      <c r="D28" s="63"/>
      <c r="E28" s="64">
        <v>184.0</v>
      </c>
      <c r="F28" s="63"/>
      <c r="G28" s="65">
        <f t="shared" ref="G28:G34" si="11">H28/12</f>
        <v>46</v>
      </c>
      <c r="H28" s="65">
        <f t="shared" ref="H28:H34" si="12">(D28*12)+(E28/4*12)+F28</f>
        <v>552</v>
      </c>
      <c r="I28" s="41"/>
    </row>
    <row r="29" ht="19.5" customHeight="1" outlineLevel="1">
      <c r="A29" s="55"/>
      <c r="B29" s="36"/>
      <c r="C29" s="42" t="s">
        <v>31</v>
      </c>
      <c r="D29" s="63"/>
      <c r="E29" s="63"/>
      <c r="F29" s="63"/>
      <c r="G29" s="65">
        <f t="shared" si="11"/>
        <v>0</v>
      </c>
      <c r="H29" s="65">
        <f t="shared" si="12"/>
        <v>0</v>
      </c>
      <c r="I29" s="41"/>
    </row>
    <row r="30" ht="19.5" customHeight="1" outlineLevel="1">
      <c r="A30" s="55"/>
      <c r="B30" s="36"/>
      <c r="C30" s="37" t="str">
        <f>HYPERLINK("https://www.icbc.com/insurance/Pages/Default.aspx","Car Insurance")</f>
        <v>Car Insurance</v>
      </c>
      <c r="D30" s="63"/>
      <c r="E30" s="63"/>
      <c r="F30" s="63"/>
      <c r="G30" s="65">
        <f t="shared" si="11"/>
        <v>0</v>
      </c>
      <c r="H30" s="65">
        <f t="shared" si="12"/>
        <v>0</v>
      </c>
      <c r="I30" s="41"/>
    </row>
    <row r="31" ht="19.5" customHeight="1" outlineLevel="1">
      <c r="A31" s="55"/>
      <c r="B31" s="36"/>
      <c r="C31" s="37" t="str">
        <f>HYPERLINK("https://www.sfu.ca/parking/rates--payments---forms.html","Parking")</f>
        <v>Parking</v>
      </c>
      <c r="D31" s="63"/>
      <c r="E31" s="64"/>
      <c r="F31" s="63"/>
      <c r="G31" s="65">
        <f t="shared" si="11"/>
        <v>0</v>
      </c>
      <c r="H31" s="65">
        <f t="shared" si="12"/>
        <v>0</v>
      </c>
      <c r="I31" s="41"/>
    </row>
    <row r="32" ht="19.5" customHeight="1" outlineLevel="1">
      <c r="A32" s="55"/>
      <c r="B32" s="36"/>
      <c r="C32" s="43" t="s">
        <v>32</v>
      </c>
      <c r="D32" s="63"/>
      <c r="E32" s="63"/>
      <c r="F32" s="63"/>
      <c r="G32" s="65">
        <f t="shared" si="11"/>
        <v>0</v>
      </c>
      <c r="H32" s="65">
        <f t="shared" si="12"/>
        <v>0</v>
      </c>
      <c r="I32" s="41"/>
    </row>
    <row r="33" ht="19.5" customHeight="1" outlineLevel="1">
      <c r="A33" s="55"/>
      <c r="B33" s="36"/>
      <c r="C33" s="43" t="s">
        <v>33</v>
      </c>
      <c r="D33" s="64">
        <v>40.0</v>
      </c>
      <c r="E33" s="63"/>
      <c r="F33" s="63"/>
      <c r="G33" s="65">
        <f t="shared" si="11"/>
        <v>40</v>
      </c>
      <c r="H33" s="65">
        <f t="shared" si="12"/>
        <v>480</v>
      </c>
      <c r="I33" s="41"/>
    </row>
    <row r="34" ht="19.5" customHeight="1" outlineLevel="1">
      <c r="A34" s="55"/>
      <c r="B34" s="36"/>
      <c r="C34" s="42" t="s">
        <v>27</v>
      </c>
      <c r="D34" s="63"/>
      <c r="E34" s="63"/>
      <c r="F34" s="63"/>
      <c r="G34" s="65">
        <f t="shared" si="11"/>
        <v>0</v>
      </c>
      <c r="H34" s="65">
        <f t="shared" si="12"/>
        <v>0</v>
      </c>
      <c r="I34" s="41"/>
    </row>
    <row r="35" ht="19.5" customHeight="1">
      <c r="A35" s="55"/>
      <c r="B35" s="36"/>
      <c r="C35" s="47"/>
      <c r="D35" s="47"/>
      <c r="E35" s="47"/>
      <c r="F35" s="47"/>
      <c r="G35" s="66"/>
      <c r="H35" s="66"/>
      <c r="I35" s="41"/>
    </row>
    <row r="36" ht="24.0" customHeight="1">
      <c r="A36" s="48" t="s">
        <v>34</v>
      </c>
      <c r="B36" s="29"/>
      <c r="C36" s="30" t="s">
        <v>18</v>
      </c>
      <c r="D36" s="49"/>
      <c r="E36" s="49"/>
      <c r="F36" s="49"/>
      <c r="G36" s="33">
        <f t="shared" ref="G36:H36" si="13">sum(G37:G49)</f>
        <v>500</v>
      </c>
      <c r="H36" s="33">
        <f t="shared" si="13"/>
        <v>6000</v>
      </c>
      <c r="I36" s="50"/>
    </row>
    <row r="37" ht="19.5" customHeight="1" outlineLevel="1">
      <c r="A37" s="55"/>
      <c r="B37" s="36"/>
      <c r="C37" s="43" t="s">
        <v>35</v>
      </c>
      <c r="D37" s="53">
        <v>100.0</v>
      </c>
      <c r="E37" s="54"/>
      <c r="F37" s="54"/>
      <c r="G37" s="40">
        <f t="shared" ref="G37:G46" si="14">H37/12</f>
        <v>100</v>
      </c>
      <c r="H37" s="40">
        <f t="shared" ref="H37:H46" si="15">(D37*12)+(E37/4*12)+F37</f>
        <v>1200</v>
      </c>
      <c r="I37" s="41"/>
    </row>
    <row r="38" ht="19.5" customHeight="1" outlineLevel="1">
      <c r="A38" s="55"/>
      <c r="B38" s="36"/>
      <c r="C38" s="43" t="s">
        <v>36</v>
      </c>
      <c r="D38" s="53">
        <v>400.0</v>
      </c>
      <c r="E38" s="54"/>
      <c r="F38" s="54"/>
      <c r="G38" s="40">
        <f t="shared" si="14"/>
        <v>400</v>
      </c>
      <c r="H38" s="40">
        <f t="shared" si="15"/>
        <v>4800</v>
      </c>
      <c r="I38" s="41"/>
    </row>
    <row r="39" ht="19.5" customHeight="1" outlineLevel="1">
      <c r="A39" s="55"/>
      <c r="B39" s="36"/>
      <c r="C39" s="43" t="s">
        <v>37</v>
      </c>
      <c r="D39" s="54"/>
      <c r="E39" s="54"/>
      <c r="F39" s="54"/>
      <c r="G39" s="40">
        <f t="shared" si="14"/>
        <v>0</v>
      </c>
      <c r="H39" s="40">
        <f t="shared" si="15"/>
        <v>0</v>
      </c>
      <c r="I39" s="41"/>
    </row>
    <row r="40" ht="19.5" customHeight="1" outlineLevel="1">
      <c r="A40" s="55"/>
      <c r="B40" s="36"/>
      <c r="C40" s="52" t="str">
        <f>HYPERLINK("https://www.sfu.ca/students/isap/explore/family/child-care.html","Child Care")</f>
        <v>Child Care</v>
      </c>
      <c r="D40" s="54"/>
      <c r="E40" s="54"/>
      <c r="F40" s="54"/>
      <c r="G40" s="40">
        <f t="shared" si="14"/>
        <v>0</v>
      </c>
      <c r="H40" s="40">
        <f t="shared" si="15"/>
        <v>0</v>
      </c>
      <c r="I40" s="41"/>
    </row>
    <row r="41" ht="19.5" customHeight="1" outlineLevel="1">
      <c r="A41" s="55"/>
      <c r="B41" s="36"/>
      <c r="C41" s="43" t="s">
        <v>38</v>
      </c>
      <c r="D41" s="54"/>
      <c r="E41" s="54"/>
      <c r="F41" s="54"/>
      <c r="G41" s="40">
        <f t="shared" si="14"/>
        <v>0</v>
      </c>
      <c r="H41" s="40">
        <f t="shared" si="15"/>
        <v>0</v>
      </c>
      <c r="I41" s="41"/>
    </row>
    <row r="42" ht="19.5" customHeight="1" outlineLevel="1">
      <c r="A42" s="55"/>
      <c r="B42" s="36"/>
      <c r="C42" s="43" t="s">
        <v>39</v>
      </c>
      <c r="D42" s="54"/>
      <c r="E42" s="54"/>
      <c r="F42" s="54"/>
      <c r="G42" s="40">
        <f t="shared" si="14"/>
        <v>0</v>
      </c>
      <c r="H42" s="40">
        <f t="shared" si="15"/>
        <v>0</v>
      </c>
      <c r="I42" s="41"/>
    </row>
    <row r="43" ht="19.5" customHeight="1" outlineLevel="1">
      <c r="A43" s="55"/>
      <c r="B43" s="36"/>
      <c r="C43" s="43" t="s">
        <v>40</v>
      </c>
      <c r="D43" s="54"/>
      <c r="E43" s="54"/>
      <c r="F43" s="54"/>
      <c r="G43" s="40">
        <f t="shared" si="14"/>
        <v>0</v>
      </c>
      <c r="H43" s="40">
        <f t="shared" si="15"/>
        <v>0</v>
      </c>
      <c r="I43" s="41"/>
    </row>
    <row r="44" ht="19.5" customHeight="1" outlineLevel="1">
      <c r="A44" s="55"/>
      <c r="B44" s="36"/>
      <c r="C44" s="42" t="s">
        <v>27</v>
      </c>
      <c r="D44" s="54"/>
      <c r="E44" s="54"/>
      <c r="F44" s="54"/>
      <c r="G44" s="40">
        <f t="shared" si="14"/>
        <v>0</v>
      </c>
      <c r="H44" s="40">
        <f t="shared" si="15"/>
        <v>0</v>
      </c>
      <c r="I44" s="41"/>
    </row>
    <row r="45" ht="19.5" customHeight="1" outlineLevel="1">
      <c r="A45" s="67"/>
      <c r="B45" s="68"/>
      <c r="C45" s="43" t="s">
        <v>41</v>
      </c>
      <c r="D45" s="54"/>
      <c r="E45" s="54"/>
      <c r="F45" s="54"/>
      <c r="G45" s="40">
        <f t="shared" si="14"/>
        <v>0</v>
      </c>
      <c r="H45" s="40">
        <f t="shared" si="15"/>
        <v>0</v>
      </c>
      <c r="I45" s="41"/>
    </row>
    <row r="46" ht="19.5" customHeight="1" outlineLevel="1">
      <c r="A46" s="67"/>
      <c r="B46" s="68"/>
      <c r="C46" s="43" t="s">
        <v>42</v>
      </c>
      <c r="D46" s="54"/>
      <c r="E46" s="54"/>
      <c r="F46" s="54"/>
      <c r="G46" s="40">
        <f t="shared" si="14"/>
        <v>0</v>
      </c>
      <c r="H46" s="40">
        <f t="shared" si="15"/>
        <v>0</v>
      </c>
      <c r="I46" s="41"/>
    </row>
    <row r="47" ht="19.5" customHeight="1" outlineLevel="1">
      <c r="A47" s="67"/>
      <c r="B47" s="68"/>
      <c r="C47" s="42"/>
      <c r="D47" s="69"/>
      <c r="E47" s="69"/>
      <c r="F47" s="69"/>
      <c r="G47" s="40"/>
      <c r="H47" s="40"/>
      <c r="I47" s="41"/>
    </row>
    <row r="48" ht="19.5" customHeight="1" outlineLevel="1">
      <c r="A48" s="67"/>
      <c r="B48" s="68"/>
      <c r="C48" s="42"/>
      <c r="D48" s="69"/>
      <c r="E48" s="69"/>
      <c r="F48" s="69"/>
      <c r="G48" s="40"/>
      <c r="H48" s="40"/>
      <c r="I48" s="41"/>
    </row>
    <row r="49" ht="19.5" customHeight="1" outlineLevel="1">
      <c r="A49" s="67"/>
      <c r="B49" s="68"/>
      <c r="C49" s="47"/>
      <c r="D49" s="69"/>
      <c r="E49" s="69"/>
      <c r="F49" s="69"/>
      <c r="G49" s="40"/>
      <c r="H49" s="40"/>
      <c r="I49" s="41"/>
    </row>
    <row r="50" ht="19.5" customHeight="1">
      <c r="A50" s="67"/>
      <c r="B50" s="68"/>
      <c r="C50" s="41"/>
      <c r="D50" s="41"/>
      <c r="E50" s="41"/>
      <c r="F50" s="41"/>
      <c r="G50" s="41"/>
      <c r="H50" s="41"/>
      <c r="I50" s="41"/>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14.38"/>
    <col customWidth="1" min="2" max="2" width="2.0"/>
    <col customWidth="1" min="3" max="3" width="22.63"/>
    <col customWidth="1" min="4" max="6" width="10.13"/>
    <col customWidth="1" min="7" max="8" width="11.38"/>
    <col customWidth="1" min="9" max="9" width="8.88"/>
  </cols>
  <sheetData>
    <row r="1" ht="3.75" customHeight="1">
      <c r="A1" s="20"/>
      <c r="B1" s="21"/>
      <c r="C1" s="21"/>
      <c r="D1" s="22"/>
      <c r="E1" s="22"/>
      <c r="F1" s="22"/>
      <c r="G1" s="22"/>
      <c r="H1" s="22"/>
      <c r="I1" s="22"/>
    </row>
    <row r="2" ht="38.25" customHeight="1">
      <c r="A2" s="24"/>
      <c r="B2" s="24"/>
      <c r="C2" s="25" t="s">
        <v>43</v>
      </c>
      <c r="D2" s="26" t="s">
        <v>12</v>
      </c>
      <c r="E2" s="26" t="s">
        <v>13</v>
      </c>
      <c r="F2" s="26" t="s">
        <v>14</v>
      </c>
      <c r="G2" s="70" t="s">
        <v>15</v>
      </c>
      <c r="H2" s="70" t="s">
        <v>16</v>
      </c>
      <c r="I2" s="71"/>
    </row>
    <row r="3" ht="24.0" customHeight="1">
      <c r="A3" s="48" t="s">
        <v>44</v>
      </c>
      <c r="B3" s="29"/>
      <c r="C3" s="30" t="s">
        <v>18</v>
      </c>
      <c r="D3" s="31"/>
      <c r="E3" s="32"/>
      <c r="F3" s="32"/>
      <c r="G3" s="33">
        <f t="shared" ref="G3:H3" si="1">sum(G4:G7)</f>
        <v>1000</v>
      </c>
      <c r="H3" s="33">
        <f t="shared" si="1"/>
        <v>12000</v>
      </c>
      <c r="I3" s="50"/>
    </row>
    <row r="4" ht="19.5" customHeight="1" outlineLevel="1">
      <c r="A4" s="72"/>
      <c r="B4" s="36"/>
      <c r="C4" s="52" t="str">
        <f>HYPERLINK("https://www.sfu.ca/human-resources/prospective-employees/temporary-support/student-temporary-pool.html","Part-Time Job")</f>
        <v>Part-Time Job</v>
      </c>
      <c r="D4" s="53">
        <v>1000.0</v>
      </c>
      <c r="E4" s="54"/>
      <c r="F4" s="53"/>
      <c r="G4" s="40">
        <f t="shared" ref="G4:G7" si="2">H4/12</f>
        <v>1000</v>
      </c>
      <c r="H4" s="40">
        <f t="shared" ref="H4:H7" si="3">(D4*12)+(E4/4*12)+F4</f>
        <v>12000</v>
      </c>
      <c r="I4" s="41"/>
    </row>
    <row r="5" ht="19.5" customHeight="1" outlineLevel="1">
      <c r="A5" s="72"/>
      <c r="B5" s="36"/>
      <c r="C5" s="43" t="s">
        <v>45</v>
      </c>
      <c r="D5" s="53"/>
      <c r="E5" s="53"/>
      <c r="F5" s="54"/>
      <c r="G5" s="40">
        <f t="shared" si="2"/>
        <v>0</v>
      </c>
      <c r="H5" s="40">
        <f t="shared" si="3"/>
        <v>0</v>
      </c>
      <c r="I5" s="41"/>
    </row>
    <row r="6" ht="19.5" customHeight="1" outlineLevel="1">
      <c r="A6" s="72"/>
      <c r="B6" s="36"/>
      <c r="C6" s="52" t="str">
        <f>HYPERLINK("https://www.sfu.ca/students/financialaid/grad/work-study.html","Work-Study Program")</f>
        <v>Work-Study Program</v>
      </c>
      <c r="D6" s="54"/>
      <c r="E6" s="54"/>
      <c r="F6" s="54"/>
      <c r="G6" s="40">
        <f t="shared" si="2"/>
        <v>0</v>
      </c>
      <c r="H6" s="40">
        <f t="shared" si="3"/>
        <v>0</v>
      </c>
      <c r="I6" s="41"/>
    </row>
    <row r="7" ht="19.5" customHeight="1" outlineLevel="1">
      <c r="A7" s="72"/>
      <c r="B7" s="36"/>
      <c r="C7" s="73" t="s">
        <v>27</v>
      </c>
      <c r="D7" s="54"/>
      <c r="E7" s="54"/>
      <c r="F7" s="54"/>
      <c r="G7" s="40">
        <f t="shared" si="2"/>
        <v>0</v>
      </c>
      <c r="H7" s="40">
        <f t="shared" si="3"/>
        <v>0</v>
      </c>
      <c r="I7" s="41"/>
    </row>
    <row r="8" ht="19.5" customHeight="1">
      <c r="A8" s="72"/>
      <c r="B8" s="36"/>
      <c r="C8" s="74"/>
      <c r="D8" s="47"/>
      <c r="E8" s="47"/>
      <c r="F8" s="47"/>
      <c r="G8" s="40"/>
      <c r="H8" s="47"/>
      <c r="I8" s="41"/>
    </row>
    <row r="9" ht="24.0" customHeight="1">
      <c r="A9" s="75" t="s">
        <v>46</v>
      </c>
      <c r="B9" s="29"/>
      <c r="C9" s="30" t="s">
        <v>18</v>
      </c>
      <c r="D9" s="31"/>
      <c r="E9" s="32"/>
      <c r="F9" s="32"/>
      <c r="G9" s="76">
        <f t="shared" ref="G9:H9" si="4">sum(G10:G12)</f>
        <v>2875</v>
      </c>
      <c r="H9" s="32">
        <f t="shared" si="4"/>
        <v>34500</v>
      </c>
      <c r="I9" s="50"/>
    </row>
    <row r="10" ht="19.5" customHeight="1" outlineLevel="1">
      <c r="A10" s="77"/>
      <c r="B10" s="36"/>
      <c r="C10" s="52" t="str">
        <f>HYPERLINK("https://www.sfu.ca/students/financialaid/grad/loans/home.html","Government Loans")</f>
        <v>Government Loans</v>
      </c>
      <c r="D10" s="54"/>
      <c r="E10" s="54"/>
      <c r="F10" s="53">
        <v>15000.0</v>
      </c>
      <c r="G10" s="40">
        <f t="shared" ref="G10:G15" si="5">H10/12</f>
        <v>1250</v>
      </c>
      <c r="H10" s="40">
        <f t="shared" ref="H10:H15" si="6">(D10*12)+(E10/4*12)+F10</f>
        <v>15000</v>
      </c>
      <c r="I10" s="41"/>
    </row>
    <row r="11" ht="19.5" customHeight="1" outlineLevel="1">
      <c r="A11" s="72"/>
      <c r="B11" s="36"/>
      <c r="C11" s="52" t="str">
        <f>HYPERLINK("http://www.sfu.ca/dean-gradstudies/awards.html","Scholarships/Awards")</f>
        <v>Scholarships/Awards</v>
      </c>
      <c r="D11" s="54"/>
      <c r="E11" s="53">
        <v>5500.0</v>
      </c>
      <c r="F11" s="53"/>
      <c r="G11" s="40">
        <f t="shared" si="5"/>
        <v>1375</v>
      </c>
      <c r="H11" s="40">
        <f t="shared" si="6"/>
        <v>16500</v>
      </c>
      <c r="I11" s="41"/>
    </row>
    <row r="12" ht="19.5" customHeight="1" outlineLevel="1">
      <c r="A12" s="72"/>
      <c r="B12" s="36"/>
      <c r="C12" s="52" t="str">
        <f>HYPERLINK("https://www.sfu.ca/students/financialaid/grad/bursaries.html","Bursaries")</f>
        <v>Bursaries</v>
      </c>
      <c r="D12" s="54"/>
      <c r="E12" s="53">
        <v>1000.0</v>
      </c>
      <c r="F12" s="53"/>
      <c r="G12" s="40">
        <f t="shared" si="5"/>
        <v>250</v>
      </c>
      <c r="H12" s="40">
        <f t="shared" si="6"/>
        <v>3000</v>
      </c>
      <c r="I12" s="41"/>
    </row>
    <row r="13" ht="19.5" customHeight="1" outlineLevel="1">
      <c r="A13" s="72"/>
      <c r="B13" s="36"/>
      <c r="C13" s="52" t="str">
        <f>HYPERLINK("http://www.tssu.ca/childcare/","TSSU Childcare Fund")</f>
        <v>TSSU Childcare Fund</v>
      </c>
      <c r="D13" s="54"/>
      <c r="E13" s="54"/>
      <c r="F13" s="54"/>
      <c r="G13" s="40">
        <f t="shared" si="5"/>
        <v>0</v>
      </c>
      <c r="H13" s="40">
        <f t="shared" si="6"/>
        <v>0</v>
      </c>
      <c r="I13" s="41"/>
    </row>
    <row r="14" ht="19.5" customHeight="1" outlineLevel="1">
      <c r="A14" s="72"/>
      <c r="B14" s="36"/>
      <c r="C14" s="52" t="str">
        <f>HYPERLINK("http://sfugradsociety.ca/","GSS Financial Support")</f>
        <v>GSS Financial Support</v>
      </c>
      <c r="D14" s="54"/>
      <c r="E14" s="54"/>
      <c r="F14" s="54"/>
      <c r="G14" s="40">
        <f t="shared" si="5"/>
        <v>0</v>
      </c>
      <c r="H14" s="40">
        <f t="shared" si="6"/>
        <v>0</v>
      </c>
      <c r="I14" s="41"/>
    </row>
    <row r="15" ht="19.5" customHeight="1" outlineLevel="1">
      <c r="A15" s="72"/>
      <c r="B15" s="36"/>
      <c r="C15" s="43" t="s">
        <v>27</v>
      </c>
      <c r="D15" s="54"/>
      <c r="E15" s="54"/>
      <c r="F15" s="54"/>
      <c r="G15" s="40">
        <f t="shared" si="5"/>
        <v>0</v>
      </c>
      <c r="H15" s="40">
        <f t="shared" si="6"/>
        <v>0</v>
      </c>
      <c r="I15" s="41"/>
    </row>
    <row r="16" ht="19.5" customHeight="1">
      <c r="A16" s="72"/>
      <c r="B16" s="36"/>
      <c r="C16" s="78"/>
      <c r="D16" s="47"/>
      <c r="E16" s="47"/>
      <c r="F16" s="47"/>
      <c r="G16" s="40"/>
      <c r="H16" s="40"/>
      <c r="I16" s="41"/>
    </row>
    <row r="17" ht="24.0" customHeight="1">
      <c r="A17" s="75" t="s">
        <v>47</v>
      </c>
      <c r="B17" s="29"/>
      <c r="C17" s="30" t="s">
        <v>18</v>
      </c>
      <c r="D17" s="31"/>
      <c r="E17" s="32"/>
      <c r="F17" s="32"/>
      <c r="G17" s="76">
        <f t="shared" ref="G17:H17" si="7">sum(G18:G20)</f>
        <v>0</v>
      </c>
      <c r="H17" s="32">
        <f t="shared" si="7"/>
        <v>0</v>
      </c>
      <c r="I17" s="50"/>
    </row>
    <row r="18" ht="19.5" customHeight="1" outlineLevel="1">
      <c r="A18" s="77"/>
      <c r="B18" s="36"/>
      <c r="C18" s="43" t="s">
        <v>48</v>
      </c>
      <c r="D18" s="53"/>
      <c r="E18" s="54"/>
      <c r="F18" s="53"/>
      <c r="G18" s="40">
        <f t="shared" ref="G18:G22" si="8">H18/12</f>
        <v>0</v>
      </c>
      <c r="H18" s="40">
        <f t="shared" ref="H18:H22" si="9">(D18*12)+(E18/4*12)+F18</f>
        <v>0</v>
      </c>
      <c r="I18" s="41"/>
    </row>
    <row r="19" ht="19.5" customHeight="1" outlineLevel="1">
      <c r="A19" s="72"/>
      <c r="B19" s="36"/>
      <c r="C19" s="43" t="s">
        <v>49</v>
      </c>
      <c r="D19" s="54"/>
      <c r="E19" s="54"/>
      <c r="F19" s="54"/>
      <c r="G19" s="40">
        <f t="shared" si="8"/>
        <v>0</v>
      </c>
      <c r="H19" s="40">
        <f t="shared" si="9"/>
        <v>0</v>
      </c>
      <c r="I19" s="41"/>
    </row>
    <row r="20" ht="19.5" customHeight="1" outlineLevel="1">
      <c r="A20" s="72"/>
      <c r="B20" s="36"/>
      <c r="C20" s="52" t="str">
        <f>HYPERLINK("https://www.canada.ca/en/services/benefits/education/education-savings/resp.html","RESP")</f>
        <v>RESP</v>
      </c>
      <c r="D20" s="54"/>
      <c r="E20" s="54"/>
      <c r="F20" s="54"/>
      <c r="G20" s="40">
        <f t="shared" si="8"/>
        <v>0</v>
      </c>
      <c r="H20" s="40">
        <f t="shared" si="9"/>
        <v>0</v>
      </c>
      <c r="I20" s="41"/>
    </row>
    <row r="21" ht="19.5" customHeight="1" outlineLevel="1">
      <c r="A21" s="72"/>
      <c r="B21" s="36"/>
      <c r="C21" s="43" t="s">
        <v>50</v>
      </c>
      <c r="D21" s="54"/>
      <c r="E21" s="54"/>
      <c r="F21" s="54"/>
      <c r="G21" s="40">
        <f t="shared" si="8"/>
        <v>0</v>
      </c>
      <c r="H21" s="40">
        <f t="shared" si="9"/>
        <v>0</v>
      </c>
      <c r="I21" s="41"/>
    </row>
    <row r="22" ht="19.5" customHeight="1" outlineLevel="1">
      <c r="A22" s="72"/>
      <c r="B22" s="36"/>
      <c r="C22" s="43" t="s">
        <v>27</v>
      </c>
      <c r="D22" s="54"/>
      <c r="E22" s="54"/>
      <c r="F22" s="54"/>
      <c r="G22" s="40">
        <f t="shared" si="8"/>
        <v>0</v>
      </c>
      <c r="H22" s="40">
        <f t="shared" si="9"/>
        <v>0</v>
      </c>
      <c r="I22" s="41"/>
    </row>
    <row r="23" ht="19.5" customHeight="1">
      <c r="A23" s="72"/>
      <c r="B23" s="36"/>
      <c r="C23" s="42"/>
      <c r="D23" s="56"/>
      <c r="E23" s="56"/>
      <c r="F23" s="56"/>
      <c r="G23" s="40"/>
      <c r="H23" s="40"/>
      <c r="I23" s="41"/>
    </row>
    <row r="24" ht="24.0" customHeight="1">
      <c r="A24" s="48" t="s">
        <v>34</v>
      </c>
      <c r="B24" s="29"/>
      <c r="C24" s="30" t="s">
        <v>18</v>
      </c>
      <c r="D24" s="31"/>
      <c r="E24" s="32"/>
      <c r="F24" s="32"/>
      <c r="G24" s="76">
        <f t="shared" ref="G24:H24" si="10">sum(G25:G29)</f>
        <v>0</v>
      </c>
      <c r="H24" s="32">
        <f t="shared" si="10"/>
        <v>0</v>
      </c>
      <c r="I24" s="50"/>
    </row>
    <row r="25" ht="19.5" customHeight="1" outlineLevel="1">
      <c r="A25" s="72"/>
      <c r="B25" s="36"/>
      <c r="C25" s="79" t="s">
        <v>40</v>
      </c>
      <c r="D25" s="54"/>
      <c r="E25" s="54"/>
      <c r="F25" s="54"/>
      <c r="G25" s="40">
        <f t="shared" ref="G25:G29" si="11">H25/12</f>
        <v>0</v>
      </c>
      <c r="H25" s="40">
        <f t="shared" ref="H25:H29" si="12">(D25*12)+(E25/4*12)+F25</f>
        <v>0</v>
      </c>
      <c r="I25" s="41"/>
    </row>
    <row r="26" ht="19.5" customHeight="1" outlineLevel="1">
      <c r="A26" s="72"/>
      <c r="B26" s="36"/>
      <c r="C26" s="79" t="s">
        <v>51</v>
      </c>
      <c r="D26" s="54"/>
      <c r="E26" s="54"/>
      <c r="F26" s="54"/>
      <c r="G26" s="40">
        <f t="shared" si="11"/>
        <v>0</v>
      </c>
      <c r="H26" s="40">
        <f t="shared" si="12"/>
        <v>0</v>
      </c>
      <c r="I26" s="41"/>
    </row>
    <row r="27" ht="19.5" customHeight="1" outlineLevel="1">
      <c r="A27" s="72"/>
      <c r="B27" s="36"/>
      <c r="C27" s="79" t="s">
        <v>27</v>
      </c>
      <c r="D27" s="54"/>
      <c r="E27" s="54"/>
      <c r="F27" s="54"/>
      <c r="G27" s="40">
        <f t="shared" si="11"/>
        <v>0</v>
      </c>
      <c r="H27" s="40">
        <f t="shared" si="12"/>
        <v>0</v>
      </c>
      <c r="I27" s="41"/>
    </row>
    <row r="28" ht="19.5" customHeight="1" outlineLevel="1">
      <c r="A28" s="72"/>
      <c r="B28" s="36"/>
      <c r="C28" s="43" t="s">
        <v>41</v>
      </c>
      <c r="D28" s="54"/>
      <c r="E28" s="54"/>
      <c r="F28" s="54"/>
      <c r="G28" s="40">
        <f t="shared" si="11"/>
        <v>0</v>
      </c>
      <c r="H28" s="40">
        <f t="shared" si="12"/>
        <v>0</v>
      </c>
      <c r="I28" s="41"/>
    </row>
    <row r="29" ht="19.5" customHeight="1" outlineLevel="1">
      <c r="A29" s="72"/>
      <c r="B29" s="36"/>
      <c r="C29" s="43" t="s">
        <v>42</v>
      </c>
      <c r="D29" s="54"/>
      <c r="E29" s="54"/>
      <c r="F29" s="54"/>
      <c r="G29" s="40">
        <f t="shared" si="11"/>
        <v>0</v>
      </c>
      <c r="H29" s="40">
        <f t="shared" si="12"/>
        <v>0</v>
      </c>
      <c r="I29" s="41"/>
    </row>
    <row r="30" ht="19.5" customHeight="1">
      <c r="A30" s="72"/>
      <c r="B30" s="36"/>
      <c r="C30" s="42"/>
      <c r="D30" s="56"/>
      <c r="E30" s="56"/>
      <c r="F30" s="56"/>
      <c r="G30" s="40"/>
      <c r="H30" s="80"/>
      <c r="I30" s="41"/>
    </row>
  </sheetData>
  <mergeCells count="2">
    <mergeCell ref="A9:A10"/>
    <mergeCell ref="A17:A1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3"/>
    <col customWidth="1" hidden="1" min="2" max="2" width="5.13"/>
    <col customWidth="1" min="3" max="3" width="17.63"/>
    <col customWidth="1" min="4" max="5" width="12.63"/>
    <col customWidth="1" min="10" max="10" width="15.13"/>
    <col customWidth="1" min="11" max="11" width="12.63"/>
    <col customWidth="1" min="13" max="13" width="12.63"/>
  </cols>
  <sheetData>
    <row r="1" ht="3.75" customHeight="1">
      <c r="A1" s="81"/>
      <c r="B1" s="81"/>
      <c r="C1" s="82"/>
      <c r="D1" s="82"/>
      <c r="E1" s="82"/>
      <c r="F1" s="82"/>
      <c r="G1" s="82"/>
      <c r="H1" s="82"/>
      <c r="I1" s="81"/>
      <c r="J1" s="81"/>
      <c r="K1" s="81"/>
      <c r="L1" s="81"/>
      <c r="M1" s="81"/>
    </row>
    <row r="2">
      <c r="A2" s="83"/>
      <c r="B2" s="84"/>
      <c r="C2" s="83"/>
      <c r="D2" s="83"/>
      <c r="E2" s="83"/>
      <c r="F2" s="83"/>
      <c r="G2" s="83"/>
      <c r="H2" s="83"/>
      <c r="I2" s="84"/>
      <c r="J2" s="84"/>
      <c r="K2" s="84"/>
      <c r="L2" s="84"/>
      <c r="M2" s="84"/>
    </row>
    <row r="3">
      <c r="A3" s="85"/>
      <c r="B3" s="85"/>
      <c r="C3" s="86" t="s">
        <v>52</v>
      </c>
      <c r="D3" s="10"/>
      <c r="E3" s="10"/>
      <c r="F3" s="10"/>
      <c r="G3" s="10"/>
      <c r="H3" s="10"/>
      <c r="I3" s="85"/>
      <c r="J3" s="87" t="s">
        <v>53</v>
      </c>
      <c r="K3" s="85"/>
    </row>
    <row r="4">
      <c r="A4" s="85"/>
      <c r="B4" s="85"/>
      <c r="C4" s="88" t="s">
        <v>54</v>
      </c>
      <c r="D4" s="89"/>
      <c r="E4" s="89"/>
      <c r="F4" s="89"/>
      <c r="G4" s="89"/>
      <c r="H4" s="89"/>
      <c r="I4" s="85"/>
      <c r="J4" s="90" t="s">
        <v>55</v>
      </c>
      <c r="K4" s="91"/>
    </row>
    <row r="5">
      <c r="A5" s="84"/>
      <c r="B5" s="84"/>
      <c r="C5" s="92"/>
      <c r="D5" s="93"/>
      <c r="E5" s="94"/>
      <c r="F5" s="94"/>
      <c r="G5" s="95"/>
      <c r="H5" s="95"/>
      <c r="I5" s="95"/>
      <c r="J5" s="96" t="s">
        <v>56</v>
      </c>
      <c r="K5" s="95"/>
      <c r="L5" s="95"/>
      <c r="M5" s="95"/>
    </row>
    <row r="6">
      <c r="A6" s="85"/>
      <c r="B6" s="85"/>
      <c r="C6" s="85"/>
      <c r="D6" s="85"/>
      <c r="E6" s="85"/>
      <c r="I6" s="85"/>
      <c r="J6" s="85"/>
      <c r="K6" s="85"/>
    </row>
    <row r="7">
      <c r="A7" s="85"/>
      <c r="B7" s="85"/>
      <c r="C7" s="97" t="s">
        <v>57</v>
      </c>
      <c r="D7" s="85"/>
      <c r="E7" s="85"/>
      <c r="F7" s="85"/>
      <c r="G7" s="85"/>
      <c r="H7" s="85"/>
      <c r="K7" s="10"/>
    </row>
    <row r="8">
      <c r="A8" s="85"/>
      <c r="B8" s="98"/>
      <c r="C8" s="99"/>
      <c r="D8" s="100" t="str">
        <f>Expenses!G2</f>
        <v>Monthly Total (Projected)</v>
      </c>
      <c r="E8" s="100" t="str">
        <f>Expenses!H2</f>
        <v>Yearly Total (Projected)</v>
      </c>
      <c r="F8" s="10"/>
      <c r="G8" s="101" t="str">
        <f>IFERROR(__xludf.DUMMYFUNCTION("SPARKLINE(G14,{""charttype"",""column"";""ymin"", 0; ""ymax"",MAX(G14:H14);""firstcolor"",""#CC0633""})"),"")</f>
        <v/>
      </c>
      <c r="H8" s="10" t="str">
        <f>IFERROR(__xludf.DUMMYFUNCTION("SPARKLINE(H14,{""charttype"",""column"";""ymin"", 0; ""ymax"",max(G14:H14);""firstcolor"",""#434343""})"),"")</f>
        <v/>
      </c>
      <c r="I8" s="102"/>
      <c r="J8" s="103">
        <f>D11</f>
        <v>52.41666667</v>
      </c>
      <c r="K8" s="104" t="str">
        <f>if(J8 &lt; 0, "Deficit in monthly savings", "Surplus in monthly income")</f>
        <v>Surplus in monthly income</v>
      </c>
      <c r="L8" s="105"/>
      <c r="M8" s="106"/>
    </row>
    <row r="9">
      <c r="A9" s="85"/>
      <c r="B9" s="85"/>
      <c r="C9" s="107" t="s">
        <v>44</v>
      </c>
      <c r="D9" s="108">
        <f t="shared" ref="D9:E9" si="1">sum(D16:D19)</f>
        <v>3875</v>
      </c>
      <c r="E9" s="108">
        <f t="shared" si="1"/>
        <v>46500</v>
      </c>
      <c r="F9" s="10"/>
      <c r="G9" s="109"/>
      <c r="I9" s="102"/>
      <c r="J9" s="110"/>
      <c r="K9" s="110"/>
      <c r="L9" s="110"/>
      <c r="M9" s="106"/>
    </row>
    <row r="10">
      <c r="A10" s="111"/>
      <c r="B10" s="111"/>
      <c r="C10" s="112" t="s">
        <v>58</v>
      </c>
      <c r="D10" s="113">
        <f t="shared" ref="D10:E10" si="2">sum(D24:D28)</f>
        <v>3822.583333</v>
      </c>
      <c r="E10" s="113">
        <f t="shared" si="2"/>
        <v>45871</v>
      </c>
      <c r="F10" s="114"/>
      <c r="G10" s="109"/>
      <c r="I10" s="102"/>
      <c r="J10" s="115">
        <f>E11</f>
        <v>629</v>
      </c>
      <c r="K10" s="116"/>
      <c r="L10" s="116"/>
      <c r="M10" s="106"/>
    </row>
    <row r="11">
      <c r="A11" s="10"/>
      <c r="B11" s="10"/>
      <c r="C11" s="117" t="s">
        <v>59</v>
      </c>
      <c r="D11" s="118">
        <f t="shared" ref="D11:E11" si="3">D9-D10</f>
        <v>52.41666667</v>
      </c>
      <c r="E11" s="118">
        <f t="shared" si="3"/>
        <v>629</v>
      </c>
      <c r="F11" s="114"/>
      <c r="G11" s="109"/>
      <c r="I11" s="102"/>
      <c r="K11" s="119" t="str">
        <f>if(J10 &lt; 0, "Deficit in yearly savings", "Surplus in yearly income")</f>
        <v>Surplus in yearly income</v>
      </c>
      <c r="L11" s="120"/>
    </row>
    <row r="12">
      <c r="A12" s="85"/>
      <c r="B12" s="85"/>
      <c r="F12" s="114"/>
      <c r="G12" s="109"/>
      <c r="I12" s="102"/>
      <c r="J12" s="121"/>
      <c r="K12" s="122"/>
      <c r="L12" s="123"/>
    </row>
    <row r="13">
      <c r="A13" s="85"/>
      <c r="B13" s="85"/>
      <c r="F13" s="124"/>
      <c r="G13" s="125" t="s">
        <v>11</v>
      </c>
      <c r="H13" s="126" t="s">
        <v>43</v>
      </c>
    </row>
    <row r="14">
      <c r="A14" s="85"/>
      <c r="B14" s="85"/>
      <c r="C14" s="127" t="s">
        <v>43</v>
      </c>
      <c r="D14" s="85"/>
      <c r="E14" s="85"/>
      <c r="F14" s="10"/>
      <c r="G14" s="128">
        <f>E10</f>
        <v>45871</v>
      </c>
      <c r="H14" s="129">
        <f>E9</f>
        <v>46500</v>
      </c>
      <c r="J14" s="85"/>
      <c r="K14" s="85"/>
    </row>
    <row r="15">
      <c r="A15" s="85"/>
      <c r="B15" s="130" t="s">
        <v>60</v>
      </c>
      <c r="C15" s="99" t="str">
        <f>IFERROR(__xludf.DUMMYFUNCTION("unique(Income!A:A)"),"")</f>
        <v/>
      </c>
      <c r="D15" s="100" t="str">
        <f>Income!G2</f>
        <v>Monthly Total (Projected)</v>
      </c>
      <c r="E15" s="100" t="str">
        <f>Income!H2</f>
        <v>Yearly Total (Projected)</v>
      </c>
      <c r="F15" s="85"/>
      <c r="G15" s="85"/>
      <c r="H15" s="85"/>
      <c r="I15" s="85"/>
      <c r="J15" s="85"/>
      <c r="K15" s="85"/>
    </row>
    <row r="16">
      <c r="A16" s="98"/>
      <c r="B16" s="131" t="str">
        <f t="array" ref="B16:B23">iferror(match(C16:C30,Income!A:A,0))</f>
        <v>#REF!</v>
      </c>
      <c r="C16" s="132" t="str">
        <f>IFERROR(__xludf.DUMMYFUNCTION("""COMPUTED_VALUE"""),"Income")</f>
        <v>Income</v>
      </c>
      <c r="D16" s="133">
        <f>Income!G3</f>
        <v>1000</v>
      </c>
      <c r="E16" s="133">
        <f>Income!H3</f>
        <v>12000</v>
      </c>
      <c r="F16" s="85"/>
      <c r="G16" s="85"/>
      <c r="H16" s="85"/>
      <c r="I16" s="85"/>
    </row>
    <row r="17">
      <c r="A17" s="98"/>
      <c r="B17" s="131"/>
      <c r="C17" s="132" t="str">
        <f>IFERROR(__xludf.DUMMYFUNCTION("""COMPUTED_VALUE"""),"Financial Assistance")</f>
        <v>Financial Assistance</v>
      </c>
      <c r="D17" s="133">
        <f>Income!G9</f>
        <v>2875</v>
      </c>
      <c r="E17" s="133">
        <f>Income!H9</f>
        <v>34500</v>
      </c>
      <c r="G17" s="85"/>
      <c r="H17" s="85"/>
      <c r="I17" s="85"/>
    </row>
    <row r="18">
      <c r="A18" s="85"/>
      <c r="B18" s="134"/>
      <c r="C18" s="132" t="str">
        <f>IFERROR(__xludf.DUMMYFUNCTION("""COMPUTED_VALUE"""),"Savings + Investments")</f>
        <v>Savings + Investments</v>
      </c>
      <c r="D18" s="133">
        <f>Income!G17</f>
        <v>0</v>
      </c>
      <c r="E18" s="133">
        <f>Income!H17</f>
        <v>0</v>
      </c>
    </row>
    <row r="19">
      <c r="A19" s="85"/>
      <c r="B19" s="134"/>
      <c r="C19" s="132" t="str">
        <f>IFERROR(__xludf.DUMMYFUNCTION("""COMPUTED_VALUE"""),"Miscellaneous")</f>
        <v>Miscellaneous</v>
      </c>
      <c r="D19" s="133">
        <f>Income!G24</f>
        <v>0</v>
      </c>
      <c r="E19" s="133">
        <f>Income!H24</f>
        <v>0</v>
      </c>
    </row>
    <row r="20">
      <c r="A20" s="85"/>
      <c r="B20" s="85"/>
      <c r="C20" s="85"/>
      <c r="D20" s="85"/>
      <c r="E20" s="85"/>
    </row>
    <row r="21">
      <c r="B21" s="135"/>
    </row>
    <row r="22">
      <c r="A22" s="85"/>
      <c r="B22" s="85"/>
      <c r="C22" s="97" t="s">
        <v>11</v>
      </c>
      <c r="D22" s="85"/>
      <c r="E22" s="136"/>
      <c r="F22" s="137"/>
    </row>
    <row r="23">
      <c r="A23" s="85"/>
      <c r="B23" s="130" t="s">
        <v>60</v>
      </c>
      <c r="C23" s="138" t="str">
        <f>IFERROR(__xludf.DUMMYFUNCTION("unique(Expenses!A:A)"),"")</f>
        <v/>
      </c>
      <c r="D23" s="100" t="str">
        <f>Expenses!G2</f>
        <v>Monthly Total (Projected)</v>
      </c>
      <c r="E23" s="100" t="str">
        <f>Expenses!H2</f>
        <v>Yearly Total (Projected)</v>
      </c>
      <c r="F23" s="85"/>
    </row>
    <row r="24">
      <c r="A24" s="98"/>
      <c r="B24" s="131">
        <f t="array" ref="B24:B30">iferror(match(C24:C30,Expenses!A:A,0))</f>
        <v>3</v>
      </c>
      <c r="C24" s="139" t="str">
        <f>IFERROR(__xludf.DUMMYFUNCTION("""COMPUTED_VALUE"""),"Education")</f>
        <v>Education</v>
      </c>
      <c r="D24" s="133">
        <f>Expenses!G3</f>
        <v>697.4166667</v>
      </c>
      <c r="E24" s="133">
        <f>Expenses!H3</f>
        <v>8369</v>
      </c>
      <c r="F24" s="85"/>
    </row>
    <row r="25">
      <c r="A25" s="98"/>
      <c r="B25" s="131">
        <v>10.0</v>
      </c>
      <c r="C25" s="139" t="str">
        <f>IFERROR(__xludf.DUMMYFUNCTION("""COMPUTED_VALUE"""),"Housing + Living")</f>
        <v>Housing + Living</v>
      </c>
      <c r="D25" s="133">
        <f>Expenses!G10</f>
        <v>2460</v>
      </c>
      <c r="E25" s="133">
        <f>Expenses!H10</f>
        <v>29520</v>
      </c>
      <c r="F25" s="85"/>
    </row>
    <row r="26">
      <c r="A26" s="98"/>
      <c r="B26" s="131">
        <v>19.0</v>
      </c>
      <c r="C26" s="139" t="str">
        <f>IFERROR(__xludf.DUMMYFUNCTION("""COMPUTED_VALUE"""),"Medical/Health")</f>
        <v>Medical/Health</v>
      </c>
      <c r="D26" s="133">
        <f>Expenses!G19</f>
        <v>79.16666667</v>
      </c>
      <c r="E26" s="133">
        <f>Expenses!H19</f>
        <v>950</v>
      </c>
      <c r="F26" s="140"/>
    </row>
    <row r="27">
      <c r="A27" s="98"/>
      <c r="B27" s="131">
        <v>27.0</v>
      </c>
      <c r="C27" s="139" t="str">
        <f>IFERROR(__xludf.DUMMYFUNCTION("""COMPUTED_VALUE"""),"Transportation")</f>
        <v>Transportation</v>
      </c>
      <c r="D27" s="133">
        <f>Expenses!G27</f>
        <v>86</v>
      </c>
      <c r="E27" s="133">
        <f>Expenses!H27</f>
        <v>1032</v>
      </c>
      <c r="F27" s="140"/>
      <c r="K27" s="141"/>
    </row>
    <row r="28">
      <c r="A28" s="98"/>
      <c r="B28" s="131">
        <v>36.0</v>
      </c>
      <c r="C28" s="139" t="str">
        <f>IFERROR(__xludf.DUMMYFUNCTION("""COMPUTED_VALUE"""),"Miscellaneous")</f>
        <v>Miscellaneous</v>
      </c>
      <c r="D28" s="133">
        <f>Expenses!G36</f>
        <v>500</v>
      </c>
      <c r="E28" s="133">
        <f>Expenses!H36</f>
        <v>6000</v>
      </c>
      <c r="F28" s="140"/>
      <c r="K28" s="50"/>
    </row>
    <row r="29">
      <c r="B29" s="135"/>
      <c r="F29" s="140"/>
      <c r="G29" s="140"/>
      <c r="H29" s="85"/>
    </row>
    <row r="30">
      <c r="B30" s="135"/>
      <c r="F30" s="142"/>
      <c r="G30" s="142"/>
      <c r="H30" s="85"/>
    </row>
  </sheetData>
  <mergeCells count="6">
    <mergeCell ref="G8:G12"/>
    <mergeCell ref="H8:H12"/>
    <mergeCell ref="J8:J9"/>
    <mergeCell ref="K8:L9"/>
    <mergeCell ref="J10:J12"/>
    <mergeCell ref="K11:L11"/>
  </mergeCells>
  <drawing r:id="rId2"/>
  <legacyDrawing r:id="rId3"/>
</worksheet>
</file>